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e7bee117e962ac55/Full-time Jobs 2025/Work Samples/Valuation Analysis/NVIDIA - DCF/"/>
    </mc:Choice>
  </mc:AlternateContent>
  <xr:revisionPtr revIDLastSave="134" documentId="13_ncr:1_{AD252188-80C8-4B95-B98D-AE58C1FEB35D}" xr6:coauthVersionLast="47" xr6:coauthVersionMax="47" xr10:uidLastSave="{9BCD49D4-3C2B-4E31-8EBA-A69219A54385}"/>
  <bookViews>
    <workbookView xWindow="-120" yWindow="-120" windowWidth="29040" windowHeight="15720" xr2:uid="{391A3820-FBC2-41EF-8BCA-4ACCE7C90E02}"/>
  </bookViews>
  <sheets>
    <sheet name="Cover" sheetId="1" r:id="rId1"/>
    <sheet name="Operating Model" sheetId="2" r:id="rId2"/>
    <sheet name="Revenue Growth Rate" sheetId="4" r:id="rId3"/>
    <sheet name="Discounted Cash Flow" sheetId="3" r:id="rId4"/>
  </sheets>
  <definedNames>
    <definedName name="_xleta.NOW" hidden="1" xlm="1">#NAME?</definedName>
    <definedName name="_xleta.TODAY" hidden="1" xlm="1">#NAME?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15" i="2" l="1"/>
  <c r="H62" i="3"/>
  <c r="H61" i="3" s="1"/>
  <c r="H64" i="3"/>
  <c r="H65" i="3" s="1"/>
  <c r="H56" i="3"/>
  <c r="H57" i="3" s="1"/>
  <c r="H54" i="3"/>
  <c r="H53" i="3" s="1"/>
  <c r="K92" i="3"/>
  <c r="F93" i="3"/>
  <c r="F92" i="3"/>
  <c r="F81" i="3"/>
  <c r="C60" i="3"/>
  <c r="L37" i="3"/>
  <c r="K37" i="3"/>
  <c r="J37" i="3"/>
  <c r="I37" i="3"/>
  <c r="H37" i="3"/>
  <c r="L36" i="3"/>
  <c r="K36" i="3"/>
  <c r="J36" i="3"/>
  <c r="I36" i="3"/>
  <c r="H36" i="3"/>
  <c r="L35" i="3"/>
  <c r="K35" i="3"/>
  <c r="J35" i="3"/>
  <c r="I35" i="3"/>
  <c r="H35" i="3"/>
  <c r="G32" i="3"/>
  <c r="F32" i="3"/>
  <c r="E32" i="3"/>
  <c r="D32" i="3"/>
  <c r="C32" i="3"/>
  <c r="L28" i="3"/>
  <c r="K28" i="3"/>
  <c r="J28" i="3"/>
  <c r="I28" i="3"/>
  <c r="H28" i="3"/>
  <c r="G28" i="3"/>
  <c r="F28" i="3"/>
  <c r="E28" i="3"/>
  <c r="D28" i="3"/>
  <c r="L27" i="3"/>
  <c r="K27" i="3"/>
  <c r="J27" i="3"/>
  <c r="I27" i="3"/>
  <c r="H27" i="3"/>
  <c r="G27" i="3"/>
  <c r="F27" i="3"/>
  <c r="E27" i="3"/>
  <c r="D27" i="3"/>
  <c r="C28" i="3"/>
  <c r="C27" i="3"/>
  <c r="L24" i="3"/>
  <c r="K24" i="3"/>
  <c r="J24" i="3"/>
  <c r="I24" i="3"/>
  <c r="H24" i="3"/>
  <c r="G24" i="3"/>
  <c r="F24" i="3"/>
  <c r="E24" i="3"/>
  <c r="D24" i="3"/>
  <c r="C24" i="3"/>
  <c r="L23" i="3"/>
  <c r="K23" i="3"/>
  <c r="J23" i="3"/>
  <c r="I23" i="3"/>
  <c r="H23" i="3"/>
  <c r="G23" i="3"/>
  <c r="F23" i="3"/>
  <c r="E23" i="3"/>
  <c r="E25" i="3" s="1"/>
  <c r="E30" i="3" s="1"/>
  <c r="E33" i="3" s="1"/>
  <c r="D23" i="3"/>
  <c r="D25" i="3" s="1"/>
  <c r="D30" i="3" s="1"/>
  <c r="D33" i="3" s="1"/>
  <c r="C23" i="3"/>
  <c r="H14" i="3"/>
  <c r="L13" i="3"/>
  <c r="K13" i="3"/>
  <c r="J13" i="3"/>
  <c r="I13" i="3"/>
  <c r="H13" i="3"/>
  <c r="G13" i="3"/>
  <c r="F13" i="3"/>
  <c r="E13" i="3"/>
  <c r="D13" i="3"/>
  <c r="L12" i="3"/>
  <c r="K12" i="3"/>
  <c r="J12" i="3"/>
  <c r="I12" i="3"/>
  <c r="H12" i="3"/>
  <c r="G12" i="3"/>
  <c r="F12" i="3"/>
  <c r="E12" i="3"/>
  <c r="D12" i="3"/>
  <c r="L11" i="3"/>
  <c r="K11" i="3"/>
  <c r="J11" i="3"/>
  <c r="I11" i="3"/>
  <c r="H11" i="3"/>
  <c r="G11" i="3"/>
  <c r="F11" i="3"/>
  <c r="E11" i="3"/>
  <c r="D11" i="3"/>
  <c r="L10" i="3"/>
  <c r="K10" i="3"/>
  <c r="J10" i="3"/>
  <c r="I10" i="3"/>
  <c r="H10" i="3"/>
  <c r="G10" i="3"/>
  <c r="F10" i="3"/>
  <c r="E10" i="3"/>
  <c r="D10" i="3"/>
  <c r="L16" i="3"/>
  <c r="K16" i="3"/>
  <c r="J16" i="3"/>
  <c r="I16" i="3"/>
  <c r="H16" i="3"/>
  <c r="G16" i="3"/>
  <c r="F16" i="3"/>
  <c r="E16" i="3"/>
  <c r="D16" i="3"/>
  <c r="L15" i="3"/>
  <c r="K15" i="3"/>
  <c r="J15" i="3"/>
  <c r="I15" i="3"/>
  <c r="H15" i="3"/>
  <c r="G15" i="3"/>
  <c r="F15" i="3"/>
  <c r="E15" i="3"/>
  <c r="D15" i="3"/>
  <c r="C16" i="3"/>
  <c r="C15" i="3"/>
  <c r="C12" i="3"/>
  <c r="C13" i="3" l="1"/>
  <c r="C11" i="3"/>
  <c r="C10" i="3"/>
  <c r="L9" i="3"/>
  <c r="K9" i="3"/>
  <c r="J9" i="3"/>
  <c r="I9" i="3"/>
  <c r="H9" i="3"/>
  <c r="G9" i="3"/>
  <c r="F9" i="3"/>
  <c r="E9" i="3"/>
  <c r="D9" i="3"/>
  <c r="L8" i="3"/>
  <c r="L22" i="3" s="1"/>
  <c r="K8" i="3"/>
  <c r="K22" i="3" s="1"/>
  <c r="J8" i="3"/>
  <c r="J22" i="3" s="1"/>
  <c r="I8" i="3"/>
  <c r="I22" i="3" s="1"/>
  <c r="H8" i="3"/>
  <c r="H22" i="3" s="1"/>
  <c r="G8" i="3"/>
  <c r="G22" i="3" s="1"/>
  <c r="F8" i="3"/>
  <c r="F22" i="3" s="1"/>
  <c r="E8" i="3"/>
  <c r="E22" i="3" s="1"/>
  <c r="D8" i="3"/>
  <c r="D22" i="3" s="1"/>
  <c r="C8" i="3"/>
  <c r="C22" i="3" s="1"/>
  <c r="K95" i="3"/>
  <c r="K94" i="3"/>
  <c r="K93" i="3"/>
  <c r="O91" i="3"/>
  <c r="O92" i="3" s="1"/>
  <c r="O93" i="3" s="1"/>
  <c r="P99" i="3" s="1"/>
  <c r="C51" i="3" s="1"/>
  <c r="C65" i="3"/>
  <c r="C66" i="3" s="1"/>
  <c r="C52" i="3" s="1"/>
  <c r="C61" i="3"/>
  <c r="C53" i="3" s="1"/>
  <c r="L60" i="3"/>
  <c r="M60" i="3" s="1"/>
  <c r="J60" i="3"/>
  <c r="I60" i="3" s="1"/>
  <c r="L52" i="3"/>
  <c r="M52" i="3" s="1"/>
  <c r="J52" i="3"/>
  <c r="I52" i="3" s="1"/>
  <c r="A1" i="3"/>
  <c r="N145" i="2"/>
  <c r="L65" i="2"/>
  <c r="K65" i="2"/>
  <c r="J65" i="2"/>
  <c r="I65" i="2"/>
  <c r="H65" i="2"/>
  <c r="G149" i="2"/>
  <c r="H147" i="2" s="1"/>
  <c r="C54" i="3" l="1"/>
  <c r="H60" i="3" s="1"/>
  <c r="H25" i="3"/>
  <c r="I25" i="3"/>
  <c r="I30" i="3" s="1"/>
  <c r="L25" i="3"/>
  <c r="J25" i="3"/>
  <c r="K25" i="3"/>
  <c r="F25" i="3"/>
  <c r="C25" i="3"/>
  <c r="G25" i="3"/>
  <c r="K98" i="3"/>
  <c r="F98" i="3"/>
  <c r="D70" i="3"/>
  <c r="E70" i="3" s="1"/>
  <c r="F70" i="3" s="1"/>
  <c r="G70" i="3" s="1"/>
  <c r="H70" i="3" s="1"/>
  <c r="G30" i="3" l="1"/>
  <c r="G33" i="3" s="1"/>
  <c r="G40" i="3" s="1"/>
  <c r="C30" i="3"/>
  <c r="C33" i="3" s="1"/>
  <c r="C40" i="3" s="1"/>
  <c r="F30" i="3"/>
  <c r="F33" i="3" s="1"/>
  <c r="F40" i="3" s="1"/>
  <c r="K30" i="3"/>
  <c r="G71" i="3" s="1"/>
  <c r="J30" i="3"/>
  <c r="F71" i="3" s="1"/>
  <c r="L30" i="3"/>
  <c r="H71" i="3" s="1"/>
  <c r="F80" i="3" s="1"/>
  <c r="F82" i="3" s="1"/>
  <c r="H30" i="3"/>
  <c r="D71" i="3" s="1"/>
  <c r="E71" i="3"/>
  <c r="H52" i="3"/>
  <c r="C73" i="3"/>
  <c r="K82" i="3" s="1"/>
  <c r="C42" i="3"/>
  <c r="J43" i="3" s="1"/>
  <c r="K43" i="3" l="1"/>
  <c r="L43" i="3"/>
  <c r="H43" i="3"/>
  <c r="I43" i="3"/>
  <c r="F83" i="3"/>
  <c r="F84" i="3" s="1"/>
  <c r="K84" i="3"/>
  <c r="M104" i="2" l="1"/>
  <c r="C23" i="2"/>
  <c r="D23" i="2"/>
  <c r="E23" i="2"/>
  <c r="F23" i="2"/>
  <c r="G23" i="2"/>
  <c r="H23" i="2" s="1"/>
  <c r="G133" i="2"/>
  <c r="H130" i="2" s="1"/>
  <c r="L22" i="2"/>
  <c r="K22" i="2"/>
  <c r="J22" i="2"/>
  <c r="G22" i="2"/>
  <c r="F22" i="2"/>
  <c r="E22" i="2"/>
  <c r="D22" i="2"/>
  <c r="C22" i="2"/>
  <c r="I22" i="2" s="1"/>
  <c r="H22" i="2" l="1"/>
  <c r="I23" i="2"/>
  <c r="J23" i="2" l="1"/>
  <c r="K23" i="2" l="1"/>
  <c r="L23" i="2" l="1"/>
  <c r="G24" i="2" l="1"/>
  <c r="F24" i="2"/>
  <c r="E24" i="2"/>
  <c r="D24" i="2"/>
  <c r="C24" i="2"/>
  <c r="L24" i="2" s="1"/>
  <c r="G121" i="2"/>
  <c r="F121" i="2"/>
  <c r="E121" i="2"/>
  <c r="D121" i="2"/>
  <c r="G120" i="2"/>
  <c r="G122" i="2" s="1"/>
  <c r="F120" i="2"/>
  <c r="E120" i="2"/>
  <c r="D120" i="2"/>
  <c r="C121" i="2"/>
  <c r="C120" i="2"/>
  <c r="C122" i="2" s="1"/>
  <c r="G117" i="2"/>
  <c r="F117" i="2"/>
  <c r="E117" i="2"/>
  <c r="D117" i="2"/>
  <c r="G116" i="2"/>
  <c r="F116" i="2"/>
  <c r="E116" i="2"/>
  <c r="D116" i="2"/>
  <c r="G115" i="2"/>
  <c r="F115" i="2"/>
  <c r="E115" i="2"/>
  <c r="E118" i="2" s="1"/>
  <c r="D115" i="2"/>
  <c r="C115" i="2"/>
  <c r="C116" i="2"/>
  <c r="C117" i="2"/>
  <c r="G108" i="2"/>
  <c r="H106" i="2" s="1"/>
  <c r="H142" i="2" s="1"/>
  <c r="I24" i="2" l="1"/>
  <c r="J24" i="2"/>
  <c r="D122" i="2"/>
  <c r="K24" i="2"/>
  <c r="H24" i="2"/>
  <c r="E122" i="2"/>
  <c r="D118" i="2"/>
  <c r="D124" i="2" s="1"/>
  <c r="F122" i="2"/>
  <c r="C118" i="2"/>
  <c r="C124" i="2" s="1"/>
  <c r="D125" i="2" s="1"/>
  <c r="E124" i="2"/>
  <c r="E125" i="2" s="1"/>
  <c r="F118" i="2"/>
  <c r="F124" i="2" s="1"/>
  <c r="G118" i="2"/>
  <c r="G124" i="2" s="1"/>
  <c r="F125" i="2" l="1"/>
  <c r="G125" i="2"/>
  <c r="H10" i="1" l="1"/>
  <c r="F43" i="2"/>
  <c r="G29" i="2"/>
  <c r="F29" i="2"/>
  <c r="E29" i="2"/>
  <c r="D29" i="2"/>
  <c r="G28" i="2"/>
  <c r="F28" i="2"/>
  <c r="E28" i="2"/>
  <c r="D28" i="2"/>
  <c r="G27" i="2"/>
  <c r="F27" i="2"/>
  <c r="E27" i="2"/>
  <c r="D27" i="2"/>
  <c r="G26" i="2"/>
  <c r="F26" i="2"/>
  <c r="E26" i="2"/>
  <c r="D26" i="2"/>
  <c r="G25" i="2"/>
  <c r="F25" i="2"/>
  <c r="E25" i="2"/>
  <c r="D25" i="2"/>
  <c r="C29" i="2"/>
  <c r="C28" i="2"/>
  <c r="C27" i="2"/>
  <c r="C26" i="2"/>
  <c r="C25" i="2"/>
  <c r="L25" i="2" s="1"/>
  <c r="L18" i="2"/>
  <c r="G19" i="2"/>
  <c r="F19" i="2"/>
  <c r="E19" i="2"/>
  <c r="D19" i="2"/>
  <c r="C19" i="2"/>
  <c r="G18" i="2"/>
  <c r="F18" i="2"/>
  <c r="E18" i="2"/>
  <c r="D18" i="2"/>
  <c r="C18" i="2"/>
  <c r="K18" i="2" s="1"/>
  <c r="C137" i="2"/>
  <c r="C129" i="2"/>
  <c r="C114" i="2"/>
  <c r="C87" i="2"/>
  <c r="M99" i="2"/>
  <c r="G72" i="2"/>
  <c r="G77" i="2" s="1"/>
  <c r="G80" i="2" s="1"/>
  <c r="F72" i="2"/>
  <c r="F77" i="2" s="1"/>
  <c r="F80" i="2" s="1"/>
  <c r="E72" i="2"/>
  <c r="E77" i="2" s="1"/>
  <c r="E80" i="2" s="1"/>
  <c r="D72" i="2"/>
  <c r="D77" i="2" s="1"/>
  <c r="D80" i="2" s="1"/>
  <c r="C72" i="2"/>
  <c r="C77" i="2" s="1"/>
  <c r="C80" i="2" s="1"/>
  <c r="L27" i="2" l="1"/>
  <c r="H18" i="2"/>
  <c r="H28" i="2"/>
  <c r="H26" i="2"/>
  <c r="I27" i="2"/>
  <c r="L29" i="2"/>
  <c r="L19" i="2"/>
  <c r="J27" i="2"/>
  <c r="K28" i="2"/>
  <c r="K27" i="2"/>
  <c r="K29" i="2"/>
  <c r="I19" i="2"/>
  <c r="J28" i="2"/>
  <c r="J29" i="2"/>
  <c r="J19" i="2"/>
  <c r="H25" i="2"/>
  <c r="K19" i="2"/>
  <c r="I28" i="2"/>
  <c r="H19" i="2"/>
  <c r="L26" i="2"/>
  <c r="H27" i="2"/>
  <c r="L28" i="2"/>
  <c r="J25" i="2"/>
  <c r="I18" i="2"/>
  <c r="J18" i="2"/>
  <c r="K25" i="2"/>
  <c r="H29" i="2"/>
  <c r="I25" i="2"/>
  <c r="I29" i="2"/>
  <c r="I26" i="2"/>
  <c r="J26" i="2"/>
  <c r="K26" i="2"/>
  <c r="M82" i="2" l="1"/>
  <c r="G21" i="2"/>
  <c r="F21" i="2"/>
  <c r="E21" i="2"/>
  <c r="D21" i="2"/>
  <c r="C21" i="2"/>
  <c r="L21" i="2" s="1"/>
  <c r="C20" i="2"/>
  <c r="G20" i="2"/>
  <c r="F20" i="2"/>
  <c r="E20" i="2"/>
  <c r="D20" i="2"/>
  <c r="H20" i="2" l="1"/>
  <c r="H21" i="2"/>
  <c r="L20" i="2"/>
  <c r="K21" i="2"/>
  <c r="J21" i="2"/>
  <c r="I21" i="2"/>
  <c r="I20" i="2"/>
  <c r="K20" i="2"/>
  <c r="J20" i="2"/>
  <c r="G61" i="2"/>
  <c r="G68" i="2" s="1"/>
  <c r="G82" i="2" s="1"/>
  <c r="F61" i="2"/>
  <c r="F68" i="2" s="1"/>
  <c r="F82" i="2" s="1"/>
  <c r="E61" i="2"/>
  <c r="E68" i="2" s="1"/>
  <c r="E82" i="2" s="1"/>
  <c r="D61" i="2"/>
  <c r="D68" i="2" s="1"/>
  <c r="D82" i="2" s="1"/>
  <c r="C61" i="2"/>
  <c r="C68" i="2" s="1"/>
  <c r="C82" i="2" s="1"/>
  <c r="C55" i="2"/>
  <c r="C37" i="2"/>
  <c r="I14" i="2"/>
  <c r="G13" i="2"/>
  <c r="F13" i="2"/>
  <c r="E13" i="2"/>
  <c r="D13" i="2"/>
  <c r="C13" i="2"/>
  <c r="G11" i="2"/>
  <c r="F11" i="2"/>
  <c r="E11" i="2"/>
  <c r="D11" i="2"/>
  <c r="C11" i="2"/>
  <c r="L11" i="2" s="1"/>
  <c r="J14" i="2" l="1"/>
  <c r="I14" i="3"/>
  <c r="J13" i="2"/>
  <c r="K13" i="2"/>
  <c r="L13" i="2"/>
  <c r="I11" i="2"/>
  <c r="K11" i="2"/>
  <c r="H11" i="2"/>
  <c r="H13" i="2"/>
  <c r="I13" i="2"/>
  <c r="J11" i="2"/>
  <c r="K14" i="2" l="1"/>
  <c r="J14" i="3"/>
  <c r="D9" i="2"/>
  <c r="C40" i="2"/>
  <c r="C44" i="2" s="1"/>
  <c r="D8" i="2"/>
  <c r="D29" i="4"/>
  <c r="E19" i="4"/>
  <c r="E29" i="4" s="1"/>
  <c r="G6" i="4"/>
  <c r="F6" i="4"/>
  <c r="E6" i="4"/>
  <c r="D6" i="4"/>
  <c r="E9" i="2"/>
  <c r="D40" i="2"/>
  <c r="G9" i="2"/>
  <c r="F9" i="2"/>
  <c r="G40" i="2"/>
  <c r="F40" i="2"/>
  <c r="E40" i="2"/>
  <c r="M37" i="2"/>
  <c r="A2" i="2"/>
  <c r="A1" i="2"/>
  <c r="L14" i="2" l="1"/>
  <c r="L14" i="3" s="1"/>
  <c r="K14" i="3"/>
  <c r="D137" i="2"/>
  <c r="D114" i="2"/>
  <c r="D129" i="2"/>
  <c r="D87" i="2"/>
  <c r="E8" i="2"/>
  <c r="D37" i="2"/>
  <c r="D55" i="2"/>
  <c r="C12" i="2"/>
  <c r="C48" i="2"/>
  <c r="D10" i="2"/>
  <c r="D44" i="2"/>
  <c r="G10" i="2"/>
  <c r="G44" i="2"/>
  <c r="E10" i="2"/>
  <c r="E44" i="2"/>
  <c r="F10" i="2"/>
  <c r="F44" i="2"/>
  <c r="C10" i="2"/>
  <c r="C8" i="4"/>
  <c r="C7" i="4"/>
  <c r="F8" i="2" l="1"/>
  <c r="F37" i="2" s="1"/>
  <c r="E129" i="2"/>
  <c r="E87" i="2"/>
  <c r="E137" i="2"/>
  <c r="E114" i="2"/>
  <c r="E55" i="2"/>
  <c r="E37" i="2"/>
  <c r="F12" i="2"/>
  <c r="F48" i="2"/>
  <c r="E12" i="2"/>
  <c r="E48" i="2"/>
  <c r="D12" i="2"/>
  <c r="D48" i="2"/>
  <c r="C51" i="2"/>
  <c r="C14" i="2"/>
  <c r="G12" i="2"/>
  <c r="G48" i="2"/>
  <c r="I10" i="2"/>
  <c r="L10" i="2"/>
  <c r="K10" i="2"/>
  <c r="J10" i="2"/>
  <c r="H10" i="2"/>
  <c r="D9" i="4"/>
  <c r="D10" i="4" s="1"/>
  <c r="G9" i="4"/>
  <c r="G10" i="4" s="1"/>
  <c r="E9" i="4"/>
  <c r="E10" i="4" s="1"/>
  <c r="F9" i="4"/>
  <c r="F10" i="4" s="1"/>
  <c r="C30" i="2" l="1"/>
  <c r="C31" i="2"/>
  <c r="G8" i="2"/>
  <c r="G137" i="2" s="1"/>
  <c r="F55" i="2"/>
  <c r="I12" i="2"/>
  <c r="F137" i="2"/>
  <c r="F129" i="2"/>
  <c r="F87" i="2"/>
  <c r="F114" i="2"/>
  <c r="J12" i="2"/>
  <c r="D51" i="2"/>
  <c r="D14" i="2"/>
  <c r="F14" i="2"/>
  <c r="F51" i="2"/>
  <c r="K12" i="2"/>
  <c r="H12" i="2"/>
  <c r="L12" i="2"/>
  <c r="E51" i="2"/>
  <c r="E14" i="2"/>
  <c r="G14" i="2"/>
  <c r="G51" i="2"/>
  <c r="G11" i="4"/>
  <c r="F11" i="4"/>
  <c r="E11" i="4"/>
  <c r="C16" i="4" s="1"/>
  <c r="D11" i="4"/>
  <c r="F31" i="2" l="1"/>
  <c r="F30" i="2"/>
  <c r="D30" i="2"/>
  <c r="I30" i="2" s="1"/>
  <c r="D31" i="2"/>
  <c r="L31" i="2" s="1"/>
  <c r="G30" i="2"/>
  <c r="G31" i="2"/>
  <c r="E31" i="2"/>
  <c r="I31" i="2" s="1"/>
  <c r="E30" i="2"/>
  <c r="L30" i="2"/>
  <c r="K30" i="2"/>
  <c r="J30" i="2"/>
  <c r="G55" i="2"/>
  <c r="G37" i="2"/>
  <c r="H8" i="2"/>
  <c r="I8" i="2" s="1"/>
  <c r="I37" i="2" s="1"/>
  <c r="G114" i="2"/>
  <c r="G87" i="2"/>
  <c r="G129" i="2"/>
  <c r="H129" i="2"/>
  <c r="H137" i="2"/>
  <c r="H87" i="2"/>
  <c r="H114" i="2"/>
  <c r="I129" i="2"/>
  <c r="I114" i="2"/>
  <c r="I87" i="2"/>
  <c r="I137" i="2"/>
  <c r="D18" i="4"/>
  <c r="D19" i="4" s="1"/>
  <c r="C26" i="4" s="1"/>
  <c r="G18" i="4"/>
  <c r="G19" i="4" s="1"/>
  <c r="F18" i="4"/>
  <c r="F19" i="4" s="1"/>
  <c r="J8" i="2"/>
  <c r="H30" i="2" l="1"/>
  <c r="H31" i="2"/>
  <c r="J31" i="2"/>
  <c r="K31" i="2"/>
  <c r="I55" i="2"/>
  <c r="H37" i="2"/>
  <c r="H55" i="2"/>
  <c r="J87" i="2"/>
  <c r="J114" i="2"/>
  <c r="J137" i="2"/>
  <c r="J129" i="2"/>
  <c r="J37" i="2"/>
  <c r="J55" i="2"/>
  <c r="F28" i="4"/>
  <c r="F29" i="4" s="1"/>
  <c r="G28" i="4"/>
  <c r="G29" i="4" s="1"/>
  <c r="K8" i="2"/>
  <c r="K87" i="2" l="1"/>
  <c r="K137" i="2"/>
  <c r="K114" i="2"/>
  <c r="K129" i="2"/>
  <c r="K37" i="2"/>
  <c r="K55" i="2"/>
  <c r="C32" i="4"/>
  <c r="H9" i="2" s="1"/>
  <c r="C30" i="4"/>
  <c r="L8" i="2"/>
  <c r="L129" i="2" l="1"/>
  <c r="L87" i="2"/>
  <c r="L137" i="2"/>
  <c r="L114" i="2"/>
  <c r="L37" i="2"/>
  <c r="L55" i="2"/>
  <c r="I9" i="2"/>
  <c r="J9" i="2" s="1"/>
  <c r="K9" i="2" s="1"/>
  <c r="L9" i="2" s="1"/>
  <c r="H38" i="2"/>
  <c r="H131" i="2" s="1"/>
  <c r="H95" i="2" l="1"/>
  <c r="H132" i="2"/>
  <c r="H89" i="2" s="1"/>
  <c r="H66" i="2"/>
  <c r="H96" i="2" s="1"/>
  <c r="H58" i="2"/>
  <c r="H71" i="2"/>
  <c r="H75" i="2"/>
  <c r="H91" i="2" s="1"/>
  <c r="H76" i="2"/>
  <c r="H67" i="2"/>
  <c r="H97" i="2" s="1"/>
  <c r="H64" i="2"/>
  <c r="H60" i="2"/>
  <c r="H44" i="2"/>
  <c r="H42" i="2"/>
  <c r="H47" i="2"/>
  <c r="I38" i="2"/>
  <c r="I131" i="2" s="1"/>
  <c r="H40" i="2"/>
  <c r="H39" i="2" s="1"/>
  <c r="H90" i="2" l="1"/>
  <c r="I95" i="2"/>
  <c r="I132" i="2"/>
  <c r="H133" i="2"/>
  <c r="I115" i="2"/>
  <c r="I66" i="2"/>
  <c r="I96" i="2" s="1"/>
  <c r="H120" i="2"/>
  <c r="H116" i="2"/>
  <c r="I58" i="2"/>
  <c r="H117" i="2"/>
  <c r="H121" i="2"/>
  <c r="I64" i="2"/>
  <c r="I67" i="2"/>
  <c r="I97" i="2" s="1"/>
  <c r="I75" i="2"/>
  <c r="I91" i="2" s="1"/>
  <c r="I76" i="2"/>
  <c r="I98" i="2" s="1"/>
  <c r="I71" i="2"/>
  <c r="H98" i="2"/>
  <c r="H99" i="2" s="1"/>
  <c r="H139" i="2" s="1"/>
  <c r="I60" i="2"/>
  <c r="I117" i="2" s="1"/>
  <c r="I44" i="2"/>
  <c r="I47" i="2"/>
  <c r="I42" i="2"/>
  <c r="H43" i="2"/>
  <c r="I40" i="2"/>
  <c r="I39" i="2" s="1"/>
  <c r="J38" i="2"/>
  <c r="J131" i="2" s="1"/>
  <c r="I130" i="2" l="1"/>
  <c r="H63" i="2"/>
  <c r="I133" i="2"/>
  <c r="I89" i="2"/>
  <c r="J95" i="2"/>
  <c r="J132" i="2"/>
  <c r="J89" i="2" s="1"/>
  <c r="I90" i="2"/>
  <c r="J115" i="2"/>
  <c r="J66" i="2"/>
  <c r="J96" i="2" s="1"/>
  <c r="J58" i="2"/>
  <c r="I121" i="2"/>
  <c r="H59" i="2"/>
  <c r="H118" i="2"/>
  <c r="I116" i="2"/>
  <c r="I120" i="2"/>
  <c r="H70" i="2"/>
  <c r="H72" i="2" s="1"/>
  <c r="H77" i="2" s="1"/>
  <c r="H122" i="2"/>
  <c r="I99" i="2"/>
  <c r="I139" i="2" s="1"/>
  <c r="J64" i="2"/>
  <c r="J75" i="2"/>
  <c r="J91" i="2" s="1"/>
  <c r="J76" i="2"/>
  <c r="J98" i="2" s="1"/>
  <c r="J67" i="2"/>
  <c r="J97" i="2" s="1"/>
  <c r="J71" i="2"/>
  <c r="J60" i="2"/>
  <c r="J44" i="2"/>
  <c r="J42" i="2"/>
  <c r="J47" i="2"/>
  <c r="I43" i="2"/>
  <c r="J40" i="2"/>
  <c r="J39" i="2" s="1"/>
  <c r="K38" i="2"/>
  <c r="K131" i="2" s="1"/>
  <c r="K95" i="2" l="1"/>
  <c r="K132" i="2"/>
  <c r="K89" i="2" s="1"/>
  <c r="J130" i="2"/>
  <c r="J133" i="2" s="1"/>
  <c r="I63" i="2"/>
  <c r="J90" i="2"/>
  <c r="K115" i="2"/>
  <c r="K66" i="2"/>
  <c r="K96" i="2" s="1"/>
  <c r="K58" i="2"/>
  <c r="J120" i="2"/>
  <c r="J116" i="2"/>
  <c r="I122" i="2"/>
  <c r="I70" i="2"/>
  <c r="I72" i="2" s="1"/>
  <c r="I77" i="2" s="1"/>
  <c r="H124" i="2"/>
  <c r="H125" i="2" s="1"/>
  <c r="H92" i="2" s="1"/>
  <c r="J117" i="2"/>
  <c r="I59" i="2"/>
  <c r="I118" i="2"/>
  <c r="J121" i="2"/>
  <c r="J99" i="2"/>
  <c r="J139" i="2" s="1"/>
  <c r="K71" i="2"/>
  <c r="K76" i="2"/>
  <c r="K98" i="2" s="1"/>
  <c r="K64" i="2"/>
  <c r="K75" i="2"/>
  <c r="K91" i="2" s="1"/>
  <c r="K67" i="2"/>
  <c r="K97" i="2" s="1"/>
  <c r="K60" i="2"/>
  <c r="K44" i="2"/>
  <c r="K47" i="2"/>
  <c r="K42" i="2"/>
  <c r="J43" i="2"/>
  <c r="L38" i="2"/>
  <c r="L131" i="2" s="1"/>
  <c r="K40" i="2"/>
  <c r="K39" i="2" s="1"/>
  <c r="L95" i="2" l="1"/>
  <c r="L132" i="2"/>
  <c r="L89" i="2" s="1"/>
  <c r="K90" i="2"/>
  <c r="K130" i="2"/>
  <c r="K133" i="2" s="1"/>
  <c r="J63" i="2"/>
  <c r="I124" i="2"/>
  <c r="I125" i="2" s="1"/>
  <c r="I92" i="2" s="1"/>
  <c r="L115" i="2"/>
  <c r="L66" i="2"/>
  <c r="L96" i="2" s="1"/>
  <c r="K99" i="2"/>
  <c r="K139" i="2" s="1"/>
  <c r="K116" i="2"/>
  <c r="K120" i="2"/>
  <c r="K117" i="2"/>
  <c r="K121" i="2"/>
  <c r="L58" i="2"/>
  <c r="J59" i="2"/>
  <c r="J118" i="2"/>
  <c r="J122" i="2"/>
  <c r="J70" i="2"/>
  <c r="J72" i="2" s="1"/>
  <c r="J77" i="2" s="1"/>
  <c r="L64" i="2"/>
  <c r="L90" i="2" s="1"/>
  <c r="L67" i="2"/>
  <c r="L97" i="2" s="1"/>
  <c r="L76" i="2"/>
  <c r="L98" i="2" s="1"/>
  <c r="L75" i="2"/>
  <c r="L91" i="2" s="1"/>
  <c r="L71" i="2"/>
  <c r="L60" i="2"/>
  <c r="L42" i="2"/>
  <c r="L47" i="2"/>
  <c r="K43" i="2"/>
  <c r="L40" i="2"/>
  <c r="L39" i="2" s="1"/>
  <c r="L44" i="2"/>
  <c r="L130" i="2" l="1"/>
  <c r="L133" i="2" s="1"/>
  <c r="L63" i="2" s="1"/>
  <c r="K63" i="2"/>
  <c r="J124" i="2"/>
  <c r="L116" i="2"/>
  <c r="L120" i="2"/>
  <c r="L117" i="2"/>
  <c r="L121" i="2"/>
  <c r="K122" i="2"/>
  <c r="K70" i="2"/>
  <c r="K72" i="2" s="1"/>
  <c r="K77" i="2" s="1"/>
  <c r="K59" i="2"/>
  <c r="K118" i="2"/>
  <c r="K124" i="2" s="1"/>
  <c r="L99" i="2"/>
  <c r="L139" i="2" s="1"/>
  <c r="L43" i="2"/>
  <c r="L59" i="2" l="1"/>
  <c r="L118" i="2"/>
  <c r="L122" i="2"/>
  <c r="L70" i="2"/>
  <c r="L72" i="2" s="1"/>
  <c r="L77" i="2" s="1"/>
  <c r="K125" i="2"/>
  <c r="K92" i="2" s="1"/>
  <c r="J125" i="2"/>
  <c r="J92" i="2" s="1"/>
  <c r="L124" i="2" l="1"/>
  <c r="L125" i="2" s="1"/>
  <c r="L92" i="2" s="1"/>
  <c r="H103" i="2" l="1"/>
  <c r="I103" i="2"/>
  <c r="J103" i="2"/>
  <c r="K103" i="2"/>
  <c r="L103" i="2"/>
  <c r="H32" i="3" l="1"/>
  <c r="I32" i="3"/>
  <c r="J32" i="3"/>
  <c r="K32" i="3"/>
  <c r="L32" i="3"/>
  <c r="H33" i="3"/>
  <c r="I33" i="3"/>
  <c r="J33" i="3"/>
  <c r="K33" i="3"/>
  <c r="L33" i="3"/>
  <c r="H40" i="3"/>
  <c r="I40" i="3"/>
  <c r="J40" i="3"/>
  <c r="K40" i="3"/>
  <c r="L40" i="3"/>
  <c r="H45" i="3"/>
  <c r="I45" i="3"/>
  <c r="J45" i="3"/>
  <c r="K45" i="3"/>
  <c r="L45" i="3"/>
  <c r="D72" i="3"/>
  <c r="E72" i="3"/>
  <c r="F72" i="3"/>
  <c r="G72" i="3"/>
  <c r="H72" i="3"/>
  <c r="D74" i="3"/>
  <c r="E74" i="3"/>
  <c r="F74" i="3"/>
  <c r="G74" i="3"/>
  <c r="H74" i="3"/>
  <c r="K80" i="3"/>
  <c r="K83" i="3"/>
  <c r="F85" i="3"/>
  <c r="K85" i="3"/>
  <c r="K86" i="3"/>
  <c r="F87" i="3"/>
  <c r="K87" i="3"/>
  <c r="F91" i="3"/>
  <c r="K91" i="3"/>
  <c r="F96" i="3"/>
  <c r="K96" i="3"/>
  <c r="F100" i="3"/>
  <c r="K100" i="3"/>
  <c r="H46" i="2"/>
  <c r="I46" i="2"/>
  <c r="J46" i="2"/>
  <c r="K46" i="2"/>
  <c r="L46" i="2"/>
  <c r="H48" i="2"/>
  <c r="I48" i="2"/>
  <c r="J48" i="2"/>
  <c r="K48" i="2"/>
  <c r="L48" i="2"/>
  <c r="H50" i="2"/>
  <c r="I50" i="2"/>
  <c r="J50" i="2"/>
  <c r="K50" i="2"/>
  <c r="L50" i="2"/>
  <c r="H51" i="2"/>
  <c r="I51" i="2"/>
  <c r="J51" i="2"/>
  <c r="K51" i="2"/>
  <c r="L51" i="2"/>
  <c r="H57" i="2"/>
  <c r="I57" i="2"/>
  <c r="J57" i="2"/>
  <c r="K57" i="2"/>
  <c r="L57" i="2"/>
  <c r="H61" i="2"/>
  <c r="I61" i="2"/>
  <c r="J61" i="2"/>
  <c r="K61" i="2"/>
  <c r="L61" i="2"/>
  <c r="H68" i="2"/>
  <c r="I68" i="2"/>
  <c r="J68" i="2"/>
  <c r="K68" i="2"/>
  <c r="L68" i="2"/>
  <c r="H79" i="2"/>
  <c r="I79" i="2"/>
  <c r="J79" i="2"/>
  <c r="K79" i="2"/>
  <c r="L79" i="2"/>
  <c r="H80" i="2"/>
  <c r="I80" i="2"/>
  <c r="J80" i="2"/>
  <c r="K80" i="2"/>
  <c r="L80" i="2"/>
  <c r="H82" i="2"/>
  <c r="I82" i="2"/>
  <c r="J82" i="2"/>
  <c r="K82" i="2"/>
  <c r="L82" i="2"/>
  <c r="H88" i="2"/>
  <c r="I88" i="2"/>
  <c r="J88" i="2"/>
  <c r="K88" i="2"/>
  <c r="L88" i="2"/>
  <c r="H93" i="2"/>
  <c r="I93" i="2"/>
  <c r="J93" i="2"/>
  <c r="K93" i="2"/>
  <c r="L93" i="2"/>
  <c r="H101" i="2"/>
  <c r="I101" i="2"/>
  <c r="J101" i="2"/>
  <c r="K101" i="2"/>
  <c r="L101" i="2"/>
  <c r="H102" i="2"/>
  <c r="I102" i="2"/>
  <c r="J102" i="2"/>
  <c r="K102" i="2"/>
  <c r="L102" i="2"/>
  <c r="H104" i="2"/>
  <c r="I104" i="2"/>
  <c r="J104" i="2"/>
  <c r="K104" i="2"/>
  <c r="L104" i="2"/>
  <c r="I106" i="2"/>
  <c r="J106" i="2"/>
  <c r="K106" i="2"/>
  <c r="L106" i="2"/>
  <c r="H107" i="2"/>
  <c r="I107" i="2"/>
  <c r="J107" i="2"/>
  <c r="K107" i="2"/>
  <c r="L107" i="2"/>
  <c r="H108" i="2"/>
  <c r="I108" i="2"/>
  <c r="J108" i="2"/>
  <c r="K108" i="2"/>
  <c r="L108" i="2"/>
  <c r="H138" i="2"/>
  <c r="I138" i="2"/>
  <c r="J138" i="2"/>
  <c r="K138" i="2"/>
  <c r="L138" i="2"/>
  <c r="H140" i="2"/>
  <c r="I140" i="2"/>
  <c r="J140" i="2"/>
  <c r="K140" i="2"/>
  <c r="L140" i="2"/>
  <c r="H141" i="2"/>
  <c r="I141" i="2"/>
  <c r="J141" i="2"/>
  <c r="K141" i="2"/>
  <c r="L141" i="2"/>
  <c r="I142" i="2"/>
  <c r="J142" i="2"/>
  <c r="K142" i="2"/>
  <c r="L142" i="2"/>
  <c r="H143" i="2"/>
  <c r="I143" i="2"/>
  <c r="J143" i="2"/>
  <c r="K143" i="2"/>
  <c r="L143" i="2"/>
  <c r="I147" i="2"/>
  <c r="J147" i="2"/>
  <c r="K147" i="2"/>
  <c r="L147" i="2"/>
  <c r="H148" i="2"/>
  <c r="I148" i="2"/>
  <c r="J148" i="2"/>
  <c r="K148" i="2"/>
  <c r="L148" i="2"/>
  <c r="H149" i="2"/>
  <c r="I149" i="2"/>
  <c r="J149" i="2"/>
  <c r="K149" i="2"/>
  <c r="L149" i="2"/>
  <c r="H151" i="2"/>
  <c r="I151" i="2"/>
  <c r="J151" i="2"/>
  <c r="K151" i="2"/>
  <c r="L15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DELL</author>
  </authors>
  <commentList>
    <comment ref="B39" authorId="0" shapeId="0" xr:uid="{ABBB9AA6-BAE1-4AF4-9266-55F21B276EED}">
      <text>
        <r>
          <rPr>
            <b/>
            <sz val="9"/>
            <color indexed="81"/>
            <rFont val="Tahoma"/>
            <family val="2"/>
          </rPr>
          <t xml:space="preserve">James: </t>
        </r>
        <r>
          <rPr>
            <sz val="9"/>
            <color indexed="81"/>
            <rFont val="Tahoma"/>
            <family val="2"/>
          </rPr>
          <t>Consolidate D&amp;A</t>
        </r>
      </text>
    </comment>
    <comment ref="B42" authorId="0" shapeId="0" xr:uid="{5F2EF88E-E3C6-450E-8879-49A52163EAB9}">
      <text>
        <r>
          <rPr>
            <b/>
            <sz val="9"/>
            <color indexed="81"/>
            <rFont val="Tahoma"/>
            <family val="2"/>
          </rPr>
          <t xml:space="preserve">James: </t>
        </r>
        <r>
          <rPr>
            <sz val="9"/>
            <color indexed="81"/>
            <rFont val="Tahoma"/>
            <family val="2"/>
          </rPr>
          <t>Consolidate D&amp;A</t>
        </r>
      </text>
    </comment>
    <comment ref="B43" authorId="0" shapeId="0" xr:uid="{DF0223DF-248E-41F9-A707-58446CC884E9}">
      <text>
        <r>
          <rPr>
            <b/>
            <sz val="9"/>
            <color indexed="81"/>
            <rFont val="Tahoma"/>
            <family val="2"/>
          </rPr>
          <t xml:space="preserve">James: </t>
        </r>
        <r>
          <rPr>
            <sz val="9"/>
            <color indexed="81"/>
            <rFont val="Tahoma"/>
            <family val="2"/>
          </rPr>
          <t>Consolidate Acquisition Termination Cost (One-time cost)</t>
        </r>
      </text>
    </comment>
    <comment ref="B57" authorId="0" shapeId="0" xr:uid="{9FCA809B-D0B4-492E-9CC1-B03DB516F3C9}">
      <text>
        <r>
          <rPr>
            <b/>
            <sz val="9"/>
            <color indexed="81"/>
            <rFont val="Tahoma"/>
            <family val="2"/>
          </rPr>
          <t>James:</t>
        </r>
        <r>
          <rPr>
            <sz val="9"/>
            <color indexed="81"/>
            <rFont val="Tahoma"/>
            <family val="2"/>
          </rPr>
          <t xml:space="preserve"> Consolidate Marketable Securities</t>
        </r>
      </text>
    </comment>
    <comment ref="B67" authorId="0" shapeId="0" xr:uid="{B937EDFA-54CE-48C4-AF21-A914C2ABF54D}">
      <text>
        <r>
          <rPr>
            <b/>
            <sz val="9"/>
            <color indexed="81"/>
            <rFont val="Tahoma"/>
            <family val="2"/>
          </rPr>
          <t xml:space="preserve">James: </t>
        </r>
        <r>
          <rPr>
            <sz val="9"/>
            <color indexed="81"/>
            <rFont val="Tahoma"/>
            <family val="2"/>
          </rPr>
          <t>Consolidate Deferred Assets and Other Assets (exlcuding Investment in non-affiliated entities)</t>
        </r>
      </text>
    </comment>
    <comment ref="B74" authorId="0" shapeId="0" xr:uid="{8B07B54D-F589-41EA-9569-ECACD1874AE0}">
      <text>
        <r>
          <rPr>
            <b/>
            <sz val="9"/>
            <color indexed="81"/>
            <rFont val="Tahoma"/>
            <family val="2"/>
          </rPr>
          <t xml:space="preserve">James: </t>
        </r>
        <r>
          <rPr>
            <sz val="9"/>
            <color indexed="81"/>
            <rFont val="Tahoma"/>
            <family val="2"/>
          </rPr>
          <t>Combine long and short-term portion</t>
        </r>
      </text>
    </comment>
    <comment ref="B83" authorId="0" shapeId="0" xr:uid="{121907FB-229A-4CA1-B306-9CDAFD05231F}">
      <text>
        <r>
          <rPr>
            <b/>
            <sz val="9"/>
            <color indexed="81"/>
            <rFont val="Tahoma"/>
            <family val="2"/>
          </rPr>
          <t>James:</t>
        </r>
        <r>
          <rPr>
            <sz val="9"/>
            <color indexed="81"/>
            <rFont val="Tahoma"/>
            <family val="2"/>
          </rPr>
          <t xml:space="preserve"> Derived from intial imbalance before the plug (hardcoded)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great</author>
    <author>DELL</author>
  </authors>
  <commentList>
    <comment ref="B27" authorId="0" shapeId="0" xr:uid="{1126BAAC-0992-46A0-9ED7-9A1A12F2EAB2}">
      <text>
        <r>
          <rPr>
            <b/>
            <sz val="9"/>
            <color rgb="FF000000"/>
            <rFont val="Tahoma"/>
            <family val="2"/>
          </rPr>
          <t xml:space="preserve">James: 
</t>
        </r>
        <r>
          <rPr>
            <sz val="9"/>
            <color rgb="FF000000"/>
            <rFont val="Tahoma"/>
            <family val="2"/>
          </rPr>
          <t xml:space="preserve">Includes D&amp;A
</t>
        </r>
      </text>
    </comment>
    <comment ref="C57" authorId="1" shapeId="0" xr:uid="{74B0FE0D-5B5E-4585-A1E2-5B37751B4D2F}">
      <text>
        <r>
          <rPr>
            <b/>
            <sz val="9"/>
            <color indexed="81"/>
            <rFont val="Tahoma"/>
            <family val="2"/>
          </rPr>
          <t xml:space="preserve">James:
</t>
        </r>
        <r>
          <rPr>
            <sz val="9"/>
            <color indexed="81"/>
            <rFont val="Tahoma"/>
            <family val="2"/>
          </rPr>
          <t>As of Nov 18, 2024</t>
        </r>
      </text>
    </comment>
    <comment ref="O88" authorId="1" shapeId="0" xr:uid="{ACE3D13D-50CB-4E9C-A017-2F112C6BD247}">
      <text>
        <r>
          <rPr>
            <b/>
            <sz val="9"/>
            <color indexed="81"/>
            <rFont val="Tahoma"/>
            <family val="2"/>
          </rPr>
          <t xml:space="preserve">James:
</t>
        </r>
        <r>
          <rPr>
            <sz val="9"/>
            <color indexed="81"/>
            <rFont val="Tahoma"/>
            <family val="2"/>
          </rPr>
          <t>As of 11/26/2024</t>
        </r>
      </text>
    </comment>
    <comment ref="O89" authorId="1" shapeId="0" xr:uid="{B595C19C-7CF9-4921-B8E4-4DA4CC37F037}">
      <text>
        <r>
          <rPr>
            <b/>
            <sz val="9"/>
            <color indexed="81"/>
            <rFont val="Tahoma"/>
            <family val="2"/>
          </rPr>
          <t xml:space="preserve">James:
</t>
        </r>
        <r>
          <rPr>
            <sz val="9"/>
            <color indexed="81"/>
            <rFont val="Tahoma"/>
            <family val="2"/>
          </rPr>
          <t>By Jen-Hsun Huang (CEO)</t>
        </r>
      </text>
    </comment>
    <comment ref="P98" authorId="1" shapeId="0" xr:uid="{9967D374-DEB7-47DE-B407-C06C686977A2}">
      <text>
        <r>
          <rPr>
            <b/>
            <sz val="9"/>
            <color indexed="81"/>
            <rFont val="Tahoma"/>
            <family val="2"/>
          </rPr>
          <t xml:space="preserve">James:
</t>
        </r>
        <r>
          <rPr>
            <sz val="9"/>
            <color indexed="81"/>
            <rFont val="Tahoma"/>
            <family val="2"/>
          </rPr>
          <t>As of Feb 16, 2024. Retrived from 2024 NVIDIA 10K Filing</t>
        </r>
      </text>
    </comment>
  </commentList>
</comments>
</file>

<file path=xl/sharedStrings.xml><?xml version="1.0" encoding="utf-8"?>
<sst xmlns="http://schemas.openxmlformats.org/spreadsheetml/2006/main" count="278" uniqueCount="192">
  <si>
    <t>NVIDIA</t>
  </si>
  <si>
    <t>Three Statement Operating  Model</t>
  </si>
  <si>
    <t>Name:</t>
  </si>
  <si>
    <t>Xuan Duy Le</t>
  </si>
  <si>
    <t>Ticker:</t>
  </si>
  <si>
    <t>NVDA</t>
  </si>
  <si>
    <t>Date:</t>
  </si>
  <si>
    <t>x</t>
  </si>
  <si>
    <t>Assumptions</t>
  </si>
  <si>
    <t>Income Statement</t>
  </si>
  <si>
    <t>Fiscal Year</t>
  </si>
  <si>
    <t>Revenue Growth Rate (%)</t>
  </si>
  <si>
    <t>Gross Margin (%)</t>
  </si>
  <si>
    <t>Operating Income Margin (%)</t>
  </si>
  <si>
    <t>Other Income (% of Sales)</t>
  </si>
  <si>
    <t>Balance Sheet</t>
  </si>
  <si>
    <t>DIH</t>
  </si>
  <si>
    <t>DPO</t>
  </si>
  <si>
    <t>Other Current Assets (% of Sales)</t>
  </si>
  <si>
    <t>Capex (% of Sales)</t>
  </si>
  <si>
    <t>Depreciation (% of Capex)</t>
  </si>
  <si>
    <t>Other Assets (% of Sales)</t>
  </si>
  <si>
    <t>Other Current Liabilites (% of Sales)</t>
  </si>
  <si>
    <t>Operating Leases (% of Sales)</t>
  </si>
  <si>
    <t>Operating Lease Liabilities (% of Sales)</t>
  </si>
  <si>
    <t>Other Liabilities (% of Sales)</t>
  </si>
  <si>
    <t>Dividends (% of Net Income)</t>
  </si>
  <si>
    <t>Share Repurchases (% of Net Income)</t>
  </si>
  <si>
    <t>Step</t>
  </si>
  <si>
    <t>Operating Model</t>
  </si>
  <si>
    <t>Revenue</t>
  </si>
  <si>
    <t>Cost of Goods Sold</t>
  </si>
  <si>
    <t>Gross Profit</t>
  </si>
  <si>
    <t>Growth Rate</t>
  </si>
  <si>
    <t>Standard Deviation</t>
  </si>
  <si>
    <t>Mean</t>
  </si>
  <si>
    <t>Z-score</t>
  </si>
  <si>
    <t>Inverse Z-score</t>
  </si>
  <si>
    <t>Remaining weight over cap:</t>
  </si>
  <si>
    <t>Distributed Amount</t>
  </si>
  <si>
    <t>*Fiscal Year 2021A violates our Weight Cap</t>
  </si>
  <si>
    <t>CHECK</t>
  </si>
  <si>
    <t>Set 2021A Weight Cap</t>
  </si>
  <si>
    <t>Set 2022A Weight Cap</t>
  </si>
  <si>
    <t>The remaining weight over weight cap will be distributed proportionally to other years according to their inverse Z-score</t>
  </si>
  <si>
    <t>Remaining 2022A weight over cap:</t>
  </si>
  <si>
    <t>Revenue Growth Rate Calculation</t>
  </si>
  <si>
    <t>Hybrid Method of Z-Score and Weight Cap</t>
  </si>
  <si>
    <t>Note:</t>
  </si>
  <si>
    <t>Weighted Average Growth Rate (WAGR)</t>
  </si>
  <si>
    <t>Raw growth rate is used in WAGR because the author expects further immediate growth in the Tech Industry and does not want to undermine it</t>
  </si>
  <si>
    <t>Instead, a step down of 10% annually is used to best incorporate the exponential curve of the industry growth</t>
  </si>
  <si>
    <t>Set 2021A and 2022A Weight Cap as 40% is used to prevent overestimation of past events' influence</t>
  </si>
  <si>
    <t>Assigned Weight (%)</t>
  </si>
  <si>
    <t>New Weight (with weight cap)</t>
  </si>
  <si>
    <t>Research and Development</t>
  </si>
  <si>
    <t>SG&amp;A</t>
  </si>
  <si>
    <t>Operating Income</t>
  </si>
  <si>
    <t>Research and Development (%)</t>
  </si>
  <si>
    <t>Pre-tax Income</t>
  </si>
  <si>
    <t>Interest Income (Expense), net</t>
  </si>
  <si>
    <t>Other Income (Expense), net</t>
  </si>
  <si>
    <t>Taxes (Benefit)</t>
  </si>
  <si>
    <t>Effective Tax Rate</t>
  </si>
  <si>
    <t>Cash &amp; Cash Equivalents</t>
  </si>
  <si>
    <t>Inventories</t>
  </si>
  <si>
    <t>Account Receivable, net</t>
  </si>
  <si>
    <t>Other Current Assets</t>
  </si>
  <si>
    <t>Total Current Assets</t>
  </si>
  <si>
    <t>DSO</t>
  </si>
  <si>
    <t>Operating Lease</t>
  </si>
  <si>
    <t>Goodwill &amp; Intagibles</t>
  </si>
  <si>
    <t>Other Assets</t>
  </si>
  <si>
    <t>Total Assets</t>
  </si>
  <si>
    <t>Accounts Payble</t>
  </si>
  <si>
    <t>Accrued and Other Liabilities</t>
  </si>
  <si>
    <t>Total Current Liabilities</t>
  </si>
  <si>
    <t>Long-term Debt</t>
  </si>
  <si>
    <t>Operating Lease Liabilities</t>
  </si>
  <si>
    <t>Other Liabilities</t>
  </si>
  <si>
    <t>Total Liabilities</t>
  </si>
  <si>
    <t>Total Shareholder's Equity</t>
  </si>
  <si>
    <t>Total Liabilities &amp; Equity</t>
  </si>
  <si>
    <t>Check</t>
  </si>
  <si>
    <t>PP&amp;E, net</t>
  </si>
  <si>
    <t>Cash Flow Statement</t>
  </si>
  <si>
    <t>Net Income</t>
  </si>
  <si>
    <t>Depreciation</t>
  </si>
  <si>
    <t>Change in Operating Leases</t>
  </si>
  <si>
    <t>Change in Operating Lease Liabilities</t>
  </si>
  <si>
    <t>Change in Net Working Capital</t>
  </si>
  <si>
    <t>Cash from Operating Activities</t>
  </si>
  <si>
    <t>Capital Expenditures</t>
  </si>
  <si>
    <t>Sale / (Purchase) of Minority Investments</t>
  </si>
  <si>
    <t>Sale / (Purchase) of Other Assets</t>
  </si>
  <si>
    <t>Increase / (Decrease) of Other Liabilities</t>
  </si>
  <si>
    <t>Cash from Investing Activities</t>
  </si>
  <si>
    <t>Share Repurchases</t>
  </si>
  <si>
    <t>Dividends</t>
  </si>
  <si>
    <t>Debt Issuance / (Repayment)</t>
  </si>
  <si>
    <t>Cash from Financing Activities</t>
  </si>
  <si>
    <t>Beginning Cash Balance</t>
  </si>
  <si>
    <t>Net Change in Cash</t>
  </si>
  <si>
    <t>Ending Cash Balance</t>
  </si>
  <si>
    <t>Supplementary Schedules</t>
  </si>
  <si>
    <t>Working Capital Schedule</t>
  </si>
  <si>
    <t>Inventory</t>
  </si>
  <si>
    <t>Non-Cash Current Assets</t>
  </si>
  <si>
    <t>Accounts Payable</t>
  </si>
  <si>
    <t>Other Accrued Liabilities</t>
  </si>
  <si>
    <t>Non-Debt Current Liabilities</t>
  </si>
  <si>
    <t>Net Working Capital</t>
  </si>
  <si>
    <t>PP&amp;E Schedule</t>
  </si>
  <si>
    <t>Beginning Balance of PP&amp;E</t>
  </si>
  <si>
    <t>Ending Balance of PP&amp;E</t>
  </si>
  <si>
    <t>Debt Schedule</t>
  </si>
  <si>
    <t>Cash Available for Debt Paydown</t>
  </si>
  <si>
    <t>Interest Rate:</t>
  </si>
  <si>
    <t>Issuance (Repayment) of Revolver</t>
  </si>
  <si>
    <t>Interest Expense</t>
  </si>
  <si>
    <t>Investment in Non-Affiliated Entities</t>
  </si>
  <si>
    <t>Investment in non-affiliated entities (% of Sales)</t>
  </si>
  <si>
    <t>Beginning Balance of Long-term Debt</t>
  </si>
  <si>
    <t>Ending Balance of Long-term Debt</t>
  </si>
  <si>
    <t>1.55% to 3.5% Notes due between 2023 and 2031</t>
  </si>
  <si>
    <t>Use debt as a plug</t>
  </si>
  <si>
    <t>Discounted Cash Flow Analysis</t>
  </si>
  <si>
    <t>Assumption</t>
  </si>
  <si>
    <t>Projections</t>
  </si>
  <si>
    <t>Tax Rate</t>
  </si>
  <si>
    <t>Discounted Cashflow Analysis</t>
  </si>
  <si>
    <t>EBIT</t>
  </si>
  <si>
    <t>Income Tax Expense</t>
  </si>
  <si>
    <t>EBIAT</t>
  </si>
  <si>
    <t>(Inc)/Dec in Net Working Capital</t>
  </si>
  <si>
    <t>Amortization</t>
  </si>
  <si>
    <t>Other non-cash expenses</t>
  </si>
  <si>
    <t>Unlevered Free Cashflow</t>
  </si>
  <si>
    <t>WACC</t>
  </si>
  <si>
    <t>Discount Factor</t>
  </si>
  <si>
    <t>Present Value of Unlevered Free Cashflows</t>
  </si>
  <si>
    <t>Weighted Average Cost of Capital (WACC)</t>
  </si>
  <si>
    <t>WACC Sensitivity</t>
  </si>
  <si>
    <t>Target Debt-to-Total Capitalization</t>
  </si>
  <si>
    <t>Pre-Tax Cost of Debt</t>
  </si>
  <si>
    <t>Cost of Debt</t>
  </si>
  <si>
    <t>Cost of Equity</t>
  </si>
  <si>
    <t>Debt-to-Total Capitalization</t>
  </si>
  <si>
    <t>Risk-free Rate</t>
  </si>
  <si>
    <t>Levered Beta</t>
  </si>
  <si>
    <t>Expected Market Return</t>
  </si>
  <si>
    <t>Firm-Specific Risk Premium</t>
  </si>
  <si>
    <t>Marginal Tax Rate</t>
  </si>
  <si>
    <t xml:space="preserve"> </t>
  </si>
  <si>
    <t>Calculation of Firm Value</t>
  </si>
  <si>
    <t>EBITDA</t>
  </si>
  <si>
    <t>Present Value of Unlevered Free Cashflow</t>
  </si>
  <si>
    <t>Calculation of Enterprise Value</t>
  </si>
  <si>
    <t>Exit Multiple Method</t>
  </si>
  <si>
    <t>Perpetuity Growth Method</t>
  </si>
  <si>
    <t>Fully Diluted Shares Calculation</t>
  </si>
  <si>
    <t>Terminal year EBITDA</t>
  </si>
  <si>
    <t>Terminal year FCF</t>
  </si>
  <si>
    <t>Exit multiple</t>
  </si>
  <si>
    <t>Terminal year growth rate</t>
  </si>
  <si>
    <t>Terminal value</t>
  </si>
  <si>
    <t>PV of terminal value</t>
  </si>
  <si>
    <t>Sum of PV of FCF</t>
  </si>
  <si>
    <t>Enterprise Value</t>
  </si>
  <si>
    <t>Share Price</t>
  </si>
  <si>
    <t>Calculation of Equity Value</t>
  </si>
  <si>
    <t>Shares Exercised</t>
  </si>
  <si>
    <t>Price</t>
  </si>
  <si>
    <t>Enterprise value</t>
  </si>
  <si>
    <t>Proceeds</t>
  </si>
  <si>
    <t>Plus: Cash and equivalents</t>
  </si>
  <si>
    <t>Re-Purchase</t>
  </si>
  <si>
    <t>Less: Total debt</t>
  </si>
  <si>
    <t xml:space="preserve">        Net Dilution</t>
  </si>
  <si>
    <t>Less: Preferred shares</t>
  </si>
  <si>
    <t>Less: Noncontrolling interest</t>
  </si>
  <si>
    <t>RSUs</t>
  </si>
  <si>
    <t>Share #</t>
  </si>
  <si>
    <t>Avg. Value</t>
  </si>
  <si>
    <t>Equity Value</t>
  </si>
  <si>
    <t>Non-vested Shares</t>
  </si>
  <si>
    <t>Fully diluted shares outstanding</t>
  </si>
  <si>
    <t>Shares Outstanding</t>
  </si>
  <si>
    <t>Fully Diluted Shares</t>
  </si>
  <si>
    <t>Implied share price</t>
  </si>
  <si>
    <t>*Note that there is no public information on what is the total oustanding options that were exercised, so we use total options exercised by the CEO</t>
  </si>
  <si>
    <t>Cost of Equity (CAPM)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</si>
</sst>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3">
    <numFmt numFmtId="7" formatCode="&quot;$&quot;#,##0.00_);\(&quot;$&quot;#,##0.00\)"/>
    <numFmt numFmtId="8" formatCode="&quot;$&quot;#,##0.00_);[Red]\(&quot;$&quot;#,##0.00\)"/>
    <numFmt numFmtId="43" formatCode="_(* #,##0.00_);_(* \(#,##0.00\);_(* &quot;-&quot;??_);_(@_)"/>
    <numFmt numFmtId="164" formatCode="0\A"/>
    <numFmt numFmtId="165" formatCode="0\E"/>
    <numFmt numFmtId="166" formatCode="_(* #,##0.00000_);_(* \(#,##0.00000\);_(* &quot;-&quot;??_);_(@_)"/>
    <numFmt numFmtId="167" formatCode="0.0%"/>
    <numFmt numFmtId="168" formatCode="#,##0.0_);\(#,##0.0\)"/>
    <numFmt numFmtId="169" formatCode="_(* #,##0.0_);_(* \(#,##0.0\);_(* &quot;-&quot;??_);_(@_)"/>
    <numFmt numFmtId="170" formatCode="_(#,##0.00_);_(\(#,##0.00\);_(&quot;-&quot;??_);_(@_)"/>
    <numFmt numFmtId="171" formatCode="&quot;$&quot;#,##0.0_);\(&quot;$&quot;#,##0.0\)"/>
    <numFmt numFmtId="172" formatCode="#,##0.0"/>
    <numFmt numFmtId="173" formatCode="&quot;$&quot;#,##0.0"/>
    <numFmt numFmtId="174" formatCode="0.0"/>
    <numFmt numFmtId="175" formatCode="_(#,##0_);_(\(#,##0\);_(&quot;-&quot;??_);_(@_)"/>
    <numFmt numFmtId="176" formatCode="0.000%"/>
    <numFmt numFmtId="177" formatCode="0000\A"/>
    <numFmt numFmtId="178" formatCode="&quot;$&quot;#,##0.00"/>
    <numFmt numFmtId="179" formatCode=";;;"/>
    <numFmt numFmtId="180" formatCode="#,##0.0\x_);\(#,##0.0\x\);\ \-\ \-\ "/>
    <numFmt numFmtId="181" formatCode="#,##0_);\(#,##0\);\-\-_)"/>
    <numFmt numFmtId="182" formatCode="&quot;$&quot;#,##0"/>
    <numFmt numFmtId="183" formatCode="0.0000"/>
  </numFmts>
  <fonts count="2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Book Antiqua"/>
      <family val="1"/>
    </font>
    <font>
      <sz val="10"/>
      <color theme="1"/>
      <name val="Book Antiqua"/>
      <family val="1"/>
    </font>
    <font>
      <b/>
      <sz val="10"/>
      <color theme="1"/>
      <name val="Book Antiqua"/>
      <family val="1"/>
    </font>
    <font>
      <b/>
      <i/>
      <sz val="10"/>
      <color theme="1"/>
      <name val="Book Antiqua"/>
      <family val="1"/>
    </font>
    <font>
      <b/>
      <sz val="24"/>
      <color theme="1"/>
      <name val="Book Antiqua"/>
      <family val="1"/>
    </font>
    <font>
      <sz val="10"/>
      <name val="Arial"/>
      <family val="2"/>
    </font>
    <font>
      <sz val="10"/>
      <color rgb="FF0000FF"/>
      <name val="Book Antiqua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10"/>
      <color rgb="FFFF0000"/>
      <name val="Book Antiqua"/>
      <family val="1"/>
    </font>
    <font>
      <u/>
      <sz val="10"/>
      <color theme="1"/>
      <name val="Book Antiqua"/>
      <family val="1"/>
    </font>
    <font>
      <b/>
      <sz val="10"/>
      <color theme="0"/>
      <name val="Book Antiqua"/>
      <family val="1"/>
    </font>
    <font>
      <b/>
      <sz val="10"/>
      <color rgb="FF00B050"/>
      <name val="Book Antiqua"/>
      <family val="1"/>
    </font>
    <font>
      <sz val="10"/>
      <color rgb="FF00B050"/>
      <name val="Book Antiqua"/>
      <family val="1"/>
    </font>
    <font>
      <b/>
      <sz val="10"/>
      <name val="Book Antiqua"/>
      <family val="1"/>
    </font>
    <font>
      <sz val="10"/>
      <name val="Book Antiqua"/>
      <family val="1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0"/>
      <color rgb="FF0070C0"/>
      <name val="Book Antiqua"/>
      <family val="1"/>
    </font>
    <font>
      <sz val="10"/>
      <color theme="2" tint="-0.249977111117893"/>
      <name val="Book Antiqua"/>
      <family val="1"/>
    </font>
    <font>
      <i/>
      <sz val="10"/>
      <color theme="1"/>
      <name val="Book Antiqua"/>
      <family val="1"/>
    </font>
    <font>
      <b/>
      <i/>
      <sz val="10"/>
      <color rgb="FF0000FF"/>
      <name val="Book Antiqua"/>
      <family val="1"/>
    </font>
  </fonts>
  <fills count="10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14999847407452621"/>
        <bgColor indexed="64"/>
      </patternFill>
    </fill>
  </fills>
  <borders count="6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1"/>
      </bottom>
      <diagonal/>
    </border>
    <border>
      <left/>
      <right/>
      <top/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thin">
        <color indexed="64"/>
      </top>
      <bottom/>
      <diagonal/>
    </border>
    <border>
      <left/>
      <right style="dotted">
        <color indexed="64"/>
      </right>
      <top/>
      <bottom/>
      <diagonal/>
    </border>
    <border>
      <left/>
      <right style="dotted">
        <color indexed="64"/>
      </right>
      <top/>
      <bottom style="medium">
        <color theme="1"/>
      </bottom>
      <diagonal/>
    </border>
    <border>
      <left/>
      <right style="dotted">
        <color indexed="64"/>
      </right>
      <top style="thin">
        <color indexed="64"/>
      </top>
      <bottom/>
      <diagonal/>
    </border>
    <border>
      <left/>
      <right style="dotted">
        <color indexed="64"/>
      </right>
      <top style="medium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 style="hair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/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hair">
        <color auto="1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7" fillId="0" borderId="0">
      <alignment vertical="top"/>
    </xf>
  </cellStyleXfs>
  <cellXfs count="248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2" fillId="0" borderId="0" xfId="0" applyFont="1"/>
    <xf numFmtId="0" fontId="3" fillId="0" borderId="0" xfId="0" applyFont="1"/>
    <xf numFmtId="14" fontId="3" fillId="0" borderId="0" xfId="0" applyNumberFormat="1" applyFont="1"/>
    <xf numFmtId="0" fontId="6" fillId="0" borderId="0" xfId="0" applyFont="1"/>
    <xf numFmtId="0" fontId="5" fillId="0" borderId="0" xfId="0" applyFont="1"/>
    <xf numFmtId="0" fontId="6" fillId="2" borderId="0" xfId="0" applyFont="1" applyFill="1"/>
    <xf numFmtId="0" fontId="5" fillId="2" borderId="0" xfId="0" applyFont="1" applyFill="1"/>
    <xf numFmtId="0" fontId="3" fillId="2" borderId="0" xfId="0" applyFont="1" applyFill="1"/>
    <xf numFmtId="0" fontId="3" fillId="3" borderId="0" xfId="0" applyFont="1" applyFill="1"/>
    <xf numFmtId="0" fontId="4" fillId="0" borderId="0" xfId="0" applyFont="1"/>
    <xf numFmtId="164" fontId="4" fillId="0" borderId="0" xfId="0" applyNumberFormat="1" applyFont="1" applyAlignment="1">
      <alignment horizontal="center"/>
    </xf>
    <xf numFmtId="165" fontId="4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164" fontId="3" fillId="0" borderId="0" xfId="0" applyNumberFormat="1" applyFont="1"/>
    <xf numFmtId="0" fontId="5" fillId="0" borderId="9" xfId="0" applyFont="1" applyBorder="1"/>
    <xf numFmtId="0" fontId="3" fillId="0" borderId="9" xfId="0" applyFont="1" applyBorder="1"/>
    <xf numFmtId="0" fontId="3" fillId="0" borderId="10" xfId="0" applyFont="1" applyBorder="1"/>
    <xf numFmtId="164" fontId="4" fillId="0" borderId="10" xfId="0" applyNumberFormat="1" applyFont="1" applyBorder="1" applyAlignment="1">
      <alignment horizontal="center"/>
    </xf>
    <xf numFmtId="165" fontId="4" fillId="0" borderId="10" xfId="0" applyNumberFormat="1" applyFont="1" applyBorder="1" applyAlignment="1">
      <alignment horizontal="center"/>
    </xf>
    <xf numFmtId="0" fontId="3" fillId="4" borderId="11" xfId="0" applyFont="1" applyFill="1" applyBorder="1"/>
    <xf numFmtId="0" fontId="3" fillId="5" borderId="11" xfId="0" applyFont="1" applyFill="1" applyBorder="1"/>
    <xf numFmtId="0" fontId="4" fillId="0" borderId="0" xfId="0" applyFont="1" applyAlignment="1">
      <alignment horizontal="center"/>
    </xf>
    <xf numFmtId="3" fontId="3" fillId="0" borderId="0" xfId="0" applyNumberFormat="1" applyFont="1" applyAlignment="1">
      <alignment horizontal="center"/>
    </xf>
    <xf numFmtId="10" fontId="3" fillId="0" borderId="0" xfId="2" applyNumberFormat="1" applyFont="1"/>
    <xf numFmtId="10" fontId="3" fillId="0" borderId="0" xfId="0" applyNumberFormat="1" applyFont="1"/>
    <xf numFmtId="166" fontId="3" fillId="0" borderId="0" xfId="1" applyNumberFormat="1" applyFont="1"/>
    <xf numFmtId="43" fontId="3" fillId="0" borderId="0" xfId="0" applyNumberFormat="1" applyFont="1"/>
    <xf numFmtId="10" fontId="3" fillId="0" borderId="0" xfId="2" applyNumberFormat="1" applyFont="1" applyAlignment="1"/>
    <xf numFmtId="0" fontId="4" fillId="2" borderId="0" xfId="0" applyFont="1" applyFill="1"/>
    <xf numFmtId="164" fontId="4" fillId="2" borderId="0" xfId="0" applyNumberFormat="1" applyFont="1" applyFill="1" applyAlignment="1">
      <alignment horizontal="center"/>
    </xf>
    <xf numFmtId="0" fontId="3" fillId="0" borderId="12" xfId="0" applyFont="1" applyBorder="1"/>
    <xf numFmtId="9" fontId="3" fillId="0" borderId="13" xfId="0" applyNumberFormat="1" applyFont="1" applyBorder="1"/>
    <xf numFmtId="0" fontId="3" fillId="0" borderId="13" xfId="0" applyFont="1" applyBorder="1"/>
    <xf numFmtId="0" fontId="3" fillId="0" borderId="14" xfId="0" applyFont="1" applyBorder="1"/>
    <xf numFmtId="0" fontId="5" fillId="0" borderId="15" xfId="0" applyFont="1" applyBorder="1"/>
    <xf numFmtId="9" fontId="3" fillId="0" borderId="10" xfId="0" applyNumberFormat="1" applyFont="1" applyBorder="1"/>
    <xf numFmtId="0" fontId="3" fillId="0" borderId="16" xfId="0" applyFont="1" applyBorder="1"/>
    <xf numFmtId="0" fontId="4" fillId="0" borderId="17" xfId="0" applyFont="1" applyBorder="1"/>
    <xf numFmtId="10" fontId="4" fillId="0" borderId="18" xfId="2" applyNumberFormat="1" applyFont="1" applyBorder="1"/>
    <xf numFmtId="9" fontId="3" fillId="5" borderId="11" xfId="0" applyNumberFormat="1" applyFont="1" applyFill="1" applyBorder="1"/>
    <xf numFmtId="167" fontId="3" fillId="0" borderId="11" xfId="2" applyNumberFormat="1" applyFont="1" applyBorder="1"/>
    <xf numFmtId="167" fontId="3" fillId="5" borderId="11" xfId="0" applyNumberFormat="1" applyFont="1" applyFill="1" applyBorder="1"/>
    <xf numFmtId="167" fontId="3" fillId="5" borderId="11" xfId="2" applyNumberFormat="1" applyFont="1" applyFill="1" applyBorder="1"/>
    <xf numFmtId="0" fontId="4" fillId="0" borderId="19" xfId="0" applyFont="1" applyBorder="1"/>
    <xf numFmtId="37" fontId="8" fillId="0" borderId="0" xfId="0" applyNumberFormat="1" applyFont="1"/>
    <xf numFmtId="37" fontId="3" fillId="0" borderId="0" xfId="1" applyNumberFormat="1" applyFont="1"/>
    <xf numFmtId="37" fontId="8" fillId="0" borderId="0" xfId="1" applyNumberFormat="1" applyFont="1"/>
    <xf numFmtId="37" fontId="3" fillId="0" borderId="0" xfId="0" applyNumberFormat="1" applyFont="1"/>
    <xf numFmtId="37" fontId="3" fillId="0" borderId="19" xfId="0" applyNumberFormat="1" applyFont="1" applyBorder="1"/>
    <xf numFmtId="0" fontId="4" fillId="3" borderId="0" xfId="0" applyFont="1" applyFill="1"/>
    <xf numFmtId="0" fontId="4" fillId="0" borderId="10" xfId="0" applyFont="1" applyBorder="1"/>
    <xf numFmtId="164" fontId="4" fillId="0" borderId="21" xfId="0" applyNumberFormat="1" applyFont="1" applyBorder="1" applyAlignment="1">
      <alignment horizontal="center"/>
    </xf>
    <xf numFmtId="37" fontId="8" fillId="0" borderId="20" xfId="0" applyNumberFormat="1" applyFont="1" applyBorder="1"/>
    <xf numFmtId="37" fontId="3" fillId="0" borderId="22" xfId="0" applyNumberFormat="1" applyFont="1" applyBorder="1"/>
    <xf numFmtId="0" fontId="3" fillId="0" borderId="20" xfId="0" applyFont="1" applyBorder="1"/>
    <xf numFmtId="37" fontId="8" fillId="0" borderId="20" xfId="1" applyNumberFormat="1" applyFont="1" applyBorder="1"/>
    <xf numFmtId="0" fontId="3" fillId="0" borderId="23" xfId="0" applyFont="1" applyBorder="1"/>
    <xf numFmtId="37" fontId="3" fillId="0" borderId="20" xfId="0" applyNumberFormat="1" applyFont="1" applyBorder="1"/>
    <xf numFmtId="168" fontId="3" fillId="0" borderId="24" xfId="0" applyNumberFormat="1" applyFont="1" applyBorder="1"/>
    <xf numFmtId="169" fontId="3" fillId="5" borderId="25" xfId="1" applyNumberFormat="1" applyFont="1" applyFill="1" applyBorder="1"/>
    <xf numFmtId="169" fontId="3" fillId="5" borderId="11" xfId="1" applyNumberFormat="1" applyFont="1" applyFill="1" applyBorder="1"/>
    <xf numFmtId="167" fontId="3" fillId="0" borderId="27" xfId="2" applyNumberFormat="1" applyFont="1" applyBorder="1"/>
    <xf numFmtId="37" fontId="4" fillId="0" borderId="19" xfId="0" applyNumberFormat="1" applyFont="1" applyBorder="1"/>
    <xf numFmtId="37" fontId="4" fillId="0" borderId="22" xfId="0" applyNumberFormat="1" applyFont="1" applyBorder="1"/>
    <xf numFmtId="9" fontId="4" fillId="0" borderId="19" xfId="2" applyFont="1" applyBorder="1"/>
    <xf numFmtId="170" fontId="3" fillId="0" borderId="0" xfId="0" applyNumberFormat="1" applyFont="1"/>
    <xf numFmtId="0" fontId="11" fillId="0" borderId="0" xfId="0" applyFont="1"/>
    <xf numFmtId="171" fontId="4" fillId="0" borderId="0" xfId="0" applyNumberFormat="1" applyFont="1"/>
    <xf numFmtId="0" fontId="12" fillId="0" borderId="0" xfId="0" applyFont="1"/>
    <xf numFmtId="0" fontId="3" fillId="0" borderId="28" xfId="0" applyFont="1" applyBorder="1"/>
    <xf numFmtId="171" fontId="3" fillId="0" borderId="0" xfId="0" applyNumberFormat="1" applyFont="1"/>
    <xf numFmtId="0" fontId="3" fillId="0" borderId="29" xfId="0" applyFont="1" applyBorder="1"/>
    <xf numFmtId="173" fontId="3" fillId="0" borderId="0" xfId="0" applyNumberFormat="1" applyFont="1"/>
    <xf numFmtId="172" fontId="3" fillId="0" borderId="0" xfId="0" applyNumberFormat="1" applyFont="1"/>
    <xf numFmtId="0" fontId="3" fillId="0" borderId="19" xfId="0" applyFont="1" applyBorder="1"/>
    <xf numFmtId="174" fontId="3" fillId="0" borderId="11" xfId="0" applyNumberFormat="1" applyFont="1" applyBorder="1"/>
    <xf numFmtId="174" fontId="3" fillId="5" borderId="11" xfId="0" applyNumberFormat="1" applyFont="1" applyFill="1" applyBorder="1"/>
    <xf numFmtId="174" fontId="3" fillId="0" borderId="26" xfId="0" applyNumberFormat="1" applyFont="1" applyBorder="1"/>
    <xf numFmtId="167" fontId="8" fillId="5" borderId="11" xfId="0" applyNumberFormat="1" applyFont="1" applyFill="1" applyBorder="1"/>
    <xf numFmtId="167" fontId="3" fillId="3" borderId="0" xfId="0" applyNumberFormat="1" applyFont="1" applyFill="1"/>
    <xf numFmtId="37" fontId="3" fillId="6" borderId="0" xfId="0" applyNumberFormat="1" applyFont="1" applyFill="1"/>
    <xf numFmtId="37" fontId="3" fillId="6" borderId="28" xfId="0" applyNumberFormat="1" applyFont="1" applyFill="1" applyBorder="1"/>
    <xf numFmtId="37" fontId="8" fillId="0" borderId="28" xfId="0" applyNumberFormat="1" applyFont="1" applyBorder="1"/>
    <xf numFmtId="37" fontId="8" fillId="6" borderId="0" xfId="0" applyNumberFormat="1" applyFont="1" applyFill="1"/>
    <xf numFmtId="37" fontId="8" fillId="6" borderId="28" xfId="0" applyNumberFormat="1" applyFont="1" applyFill="1" applyBorder="1"/>
    <xf numFmtId="37" fontId="3" fillId="6" borderId="29" xfId="0" applyNumberFormat="1" applyFont="1" applyFill="1" applyBorder="1"/>
    <xf numFmtId="37" fontId="3" fillId="6" borderId="30" xfId="0" applyNumberFormat="1" applyFont="1" applyFill="1" applyBorder="1"/>
    <xf numFmtId="37" fontId="3" fillId="0" borderId="29" xfId="0" applyNumberFormat="1" applyFont="1" applyBorder="1"/>
    <xf numFmtId="37" fontId="4" fillId="6" borderId="0" xfId="0" applyNumberFormat="1" applyFont="1" applyFill="1"/>
    <xf numFmtId="37" fontId="4" fillId="6" borderId="28" xfId="0" applyNumberFormat="1" applyFont="1" applyFill="1" applyBorder="1"/>
    <xf numFmtId="37" fontId="4" fillId="0" borderId="0" xfId="0" applyNumberFormat="1" applyFont="1"/>
    <xf numFmtId="37" fontId="3" fillId="0" borderId="28" xfId="0" applyNumberFormat="1" applyFont="1" applyBorder="1"/>
    <xf numFmtId="37" fontId="3" fillId="0" borderId="30" xfId="0" applyNumberFormat="1" applyFont="1" applyBorder="1"/>
    <xf numFmtId="37" fontId="4" fillId="0" borderId="28" xfId="0" applyNumberFormat="1" applyFont="1" applyBorder="1"/>
    <xf numFmtId="37" fontId="4" fillId="0" borderId="31" xfId="0" applyNumberFormat="1" applyFont="1" applyBorder="1"/>
    <xf numFmtId="37" fontId="4" fillId="6" borderId="19" xfId="0" applyNumberFormat="1" applyFont="1" applyFill="1" applyBorder="1"/>
    <xf numFmtId="37" fontId="4" fillId="6" borderId="31" xfId="0" applyNumberFormat="1" applyFont="1" applyFill="1" applyBorder="1"/>
    <xf numFmtId="175" fontId="11" fillId="0" borderId="0" xfId="0" applyNumberFormat="1" applyFont="1"/>
    <xf numFmtId="37" fontId="3" fillId="0" borderId="32" xfId="0" applyNumberFormat="1" applyFont="1" applyBorder="1"/>
    <xf numFmtId="37" fontId="3" fillId="0" borderId="33" xfId="0" applyNumberFormat="1" applyFont="1" applyBorder="1"/>
    <xf numFmtId="9" fontId="3" fillId="0" borderId="11" xfId="2" applyFont="1" applyBorder="1"/>
    <xf numFmtId="9" fontId="8" fillId="5" borderId="11" xfId="0" applyNumberFormat="1" applyFont="1" applyFill="1" applyBorder="1"/>
    <xf numFmtId="37" fontId="3" fillId="6" borderId="19" xfId="0" applyNumberFormat="1" applyFont="1" applyFill="1" applyBorder="1"/>
    <xf numFmtId="37" fontId="3" fillId="6" borderId="31" xfId="0" applyNumberFormat="1" applyFont="1" applyFill="1" applyBorder="1"/>
    <xf numFmtId="37" fontId="3" fillId="0" borderId="31" xfId="0" applyNumberFormat="1" applyFont="1" applyBorder="1"/>
    <xf numFmtId="176" fontId="3" fillId="3" borderId="24" xfId="2" applyNumberFormat="1" applyFont="1" applyFill="1" applyBorder="1"/>
    <xf numFmtId="175" fontId="3" fillId="0" borderId="0" xfId="0" applyNumberFormat="1" applyFont="1" applyAlignment="1">
      <alignment horizontal="right"/>
    </xf>
    <xf numFmtId="0" fontId="6" fillId="2" borderId="0" xfId="0" applyFont="1" applyFill="1" applyAlignment="1">
      <alignment horizontal="left"/>
    </xf>
    <xf numFmtId="0" fontId="13" fillId="0" borderId="0" xfId="0" applyFont="1"/>
    <xf numFmtId="177" fontId="14" fillId="0" borderId="0" xfId="0" applyNumberFormat="1" applyFont="1" applyAlignment="1">
      <alignment horizontal="center"/>
    </xf>
    <xf numFmtId="177" fontId="4" fillId="0" borderId="7" xfId="0" applyNumberFormat="1" applyFont="1" applyBorder="1"/>
    <xf numFmtId="177" fontId="4" fillId="0" borderId="7" xfId="0" applyNumberFormat="1" applyFont="1" applyBorder="1" applyAlignment="1">
      <alignment horizontal="center"/>
    </xf>
    <xf numFmtId="0" fontId="4" fillId="0" borderId="19" xfId="0" applyFont="1" applyBorder="1" applyAlignment="1">
      <alignment horizontal="left" indent="1"/>
    </xf>
    <xf numFmtId="10" fontId="16" fillId="0" borderId="0" xfId="2" applyNumberFormat="1" applyFont="1"/>
    <xf numFmtId="0" fontId="4" fillId="0" borderId="42" xfId="0" applyFont="1" applyBorder="1"/>
    <xf numFmtId="0" fontId="4" fillId="0" borderId="43" xfId="0" applyFont="1" applyBorder="1"/>
    <xf numFmtId="0" fontId="4" fillId="0" borderId="6" xfId="0" applyFont="1" applyBorder="1" applyAlignment="1">
      <alignment horizontal="left" indent="1"/>
    </xf>
    <xf numFmtId="0" fontId="5" fillId="0" borderId="4" xfId="0" applyFont="1" applyBorder="1"/>
    <xf numFmtId="9" fontId="15" fillId="0" borderId="24" xfId="0" applyNumberFormat="1" applyFont="1" applyBorder="1"/>
    <xf numFmtId="9" fontId="15" fillId="0" borderId="37" xfId="0" applyNumberFormat="1" applyFont="1" applyBorder="1"/>
    <xf numFmtId="9" fontId="20" fillId="0" borderId="0" xfId="0" applyNumberFormat="1" applyFont="1"/>
    <xf numFmtId="9" fontId="17" fillId="0" borderId="0" xfId="0" applyNumberFormat="1" applyFont="1"/>
    <xf numFmtId="10" fontId="20" fillId="0" borderId="0" xfId="0" applyNumberFormat="1" applyFont="1"/>
    <xf numFmtId="0" fontId="20" fillId="0" borderId="0" xfId="0" applyFont="1"/>
    <xf numFmtId="10" fontId="8" fillId="0" borderId="5" xfId="0" applyNumberFormat="1" applyFont="1" applyBorder="1"/>
    <xf numFmtId="10" fontId="8" fillId="0" borderId="0" xfId="0" applyNumberFormat="1" applyFont="1"/>
    <xf numFmtId="0" fontId="3" fillId="7" borderId="34" xfId="0" applyFont="1" applyFill="1" applyBorder="1"/>
    <xf numFmtId="9" fontId="3" fillId="5" borderId="35" xfId="2" applyFont="1" applyFill="1" applyBorder="1"/>
    <xf numFmtId="9" fontId="3" fillId="5" borderId="24" xfId="2" applyFont="1" applyFill="1" applyBorder="1"/>
    <xf numFmtId="168" fontId="3" fillId="0" borderId="0" xfId="0" applyNumberFormat="1" applyFont="1"/>
    <xf numFmtId="178" fontId="3" fillId="0" borderId="0" xfId="0" applyNumberFormat="1" applyFont="1"/>
    <xf numFmtId="7" fontId="3" fillId="0" borderId="0" xfId="0" applyNumberFormat="1" applyFont="1"/>
    <xf numFmtId="0" fontId="3" fillId="0" borderId="4" xfId="0" applyFont="1" applyBorder="1"/>
    <xf numFmtId="10" fontId="3" fillId="0" borderId="5" xfId="0" applyNumberFormat="1" applyFont="1" applyBorder="1"/>
    <xf numFmtId="179" fontId="3" fillId="0" borderId="38" xfId="0" applyNumberFormat="1" applyFont="1" applyBorder="1"/>
    <xf numFmtId="10" fontId="3" fillId="0" borderId="29" xfId="0" applyNumberFormat="1" applyFont="1" applyBorder="1"/>
    <xf numFmtId="10" fontId="3" fillId="0" borderId="46" xfId="0" applyNumberFormat="1" applyFont="1" applyBorder="1"/>
    <xf numFmtId="9" fontId="3" fillId="0" borderId="47" xfId="0" applyNumberFormat="1" applyFont="1" applyBorder="1"/>
    <xf numFmtId="10" fontId="4" fillId="0" borderId="8" xfId="0" applyNumberFormat="1" applyFont="1" applyBorder="1"/>
    <xf numFmtId="10" fontId="3" fillId="0" borderId="48" xfId="2" applyNumberFormat="1" applyFont="1" applyBorder="1"/>
    <xf numFmtId="10" fontId="3" fillId="0" borderId="49" xfId="2" applyNumberFormat="1" applyFont="1" applyBorder="1"/>
    <xf numFmtId="10" fontId="3" fillId="0" borderId="50" xfId="2" applyNumberFormat="1" applyFont="1" applyBorder="1"/>
    <xf numFmtId="10" fontId="3" fillId="0" borderId="32" xfId="2" applyNumberFormat="1" applyFont="1" applyBorder="1"/>
    <xf numFmtId="10" fontId="3" fillId="0" borderId="51" xfId="2" applyNumberFormat="1" applyFont="1" applyBorder="1"/>
    <xf numFmtId="10" fontId="3" fillId="0" borderId="28" xfId="2" applyNumberFormat="1" applyFont="1" applyBorder="1"/>
    <xf numFmtId="10" fontId="3" fillId="0" borderId="52" xfId="2" applyNumberFormat="1" applyFont="1" applyBorder="1"/>
    <xf numFmtId="10" fontId="3" fillId="0" borderId="53" xfId="2" applyNumberFormat="1" applyFont="1" applyBorder="1"/>
    <xf numFmtId="10" fontId="3" fillId="0" borderId="54" xfId="2" applyNumberFormat="1" applyFont="1" applyBorder="1"/>
    <xf numFmtId="167" fontId="3" fillId="0" borderId="0" xfId="0" applyNumberFormat="1" applyFont="1"/>
    <xf numFmtId="177" fontId="3" fillId="0" borderId="0" xfId="0" applyNumberFormat="1" applyFont="1"/>
    <xf numFmtId="182" fontId="3" fillId="0" borderId="0" xfId="0" applyNumberFormat="1" applyFont="1" applyAlignment="1">
      <alignment horizontal="center"/>
    </xf>
    <xf numFmtId="10" fontId="3" fillId="0" borderId="0" xfId="0" applyNumberFormat="1" applyFont="1" applyAlignment="1">
      <alignment horizontal="left"/>
    </xf>
    <xf numFmtId="0" fontId="3" fillId="0" borderId="0" xfId="0" applyFont="1" applyAlignment="1">
      <alignment horizontal="left"/>
    </xf>
    <xf numFmtId="0" fontId="4" fillId="9" borderId="55" xfId="0" applyFont="1" applyFill="1" applyBorder="1"/>
    <xf numFmtId="0" fontId="4" fillId="9" borderId="56" xfId="0" applyFont="1" applyFill="1" applyBorder="1"/>
    <xf numFmtId="0" fontId="4" fillId="9" borderId="36" xfId="0" applyFont="1" applyFill="1" applyBorder="1"/>
    <xf numFmtId="0" fontId="22" fillId="0" borderId="55" xfId="0" applyFont="1" applyBorder="1"/>
    <xf numFmtId="0" fontId="22" fillId="0" borderId="56" xfId="0" applyFont="1" applyBorder="1"/>
    <xf numFmtId="0" fontId="22" fillId="0" borderId="36" xfId="0" applyFont="1" applyBorder="1"/>
    <xf numFmtId="0" fontId="3" fillId="0" borderId="5" xfId="0" applyFont="1" applyBorder="1"/>
    <xf numFmtId="0" fontId="3" fillId="0" borderId="57" xfId="0" applyFont="1" applyBorder="1"/>
    <xf numFmtId="3" fontId="3" fillId="0" borderId="31" xfId="0" applyNumberFormat="1" applyFont="1" applyBorder="1"/>
    <xf numFmtId="0" fontId="3" fillId="0" borderId="58" xfId="0" applyFont="1" applyBorder="1"/>
    <xf numFmtId="37" fontId="3" fillId="0" borderId="47" xfId="0" applyNumberFormat="1" applyFont="1" applyBorder="1"/>
    <xf numFmtId="0" fontId="3" fillId="0" borderId="32" xfId="0" applyFont="1" applyBorder="1"/>
    <xf numFmtId="0" fontId="3" fillId="0" borderId="57" xfId="0" applyFont="1" applyBorder="1" applyAlignment="1">
      <alignment horizontal="left" indent="1"/>
    </xf>
    <xf numFmtId="0" fontId="3" fillId="0" borderId="0" xfId="0" applyFont="1" applyAlignment="1">
      <alignment horizontal="left" indent="1"/>
    </xf>
    <xf numFmtId="3" fontId="3" fillId="0" borderId="28" xfId="0" applyNumberFormat="1" applyFont="1" applyBorder="1"/>
    <xf numFmtId="10" fontId="3" fillId="0" borderId="38" xfId="0" applyNumberFormat="1" applyFont="1" applyBorder="1"/>
    <xf numFmtId="10" fontId="3" fillId="0" borderId="30" xfId="0" applyNumberFormat="1" applyFont="1" applyBorder="1"/>
    <xf numFmtId="0" fontId="3" fillId="0" borderId="32" xfId="0" applyFont="1" applyBorder="1" applyAlignment="1">
      <alignment horizontal="left" indent="1"/>
    </xf>
    <xf numFmtId="3" fontId="3" fillId="0" borderId="47" xfId="0" applyNumberFormat="1" applyFont="1" applyBorder="1"/>
    <xf numFmtId="0" fontId="4" fillId="0" borderId="57" xfId="0" applyFont="1" applyBorder="1"/>
    <xf numFmtId="3" fontId="4" fillId="0" borderId="28" xfId="0" applyNumberFormat="1" applyFont="1" applyBorder="1"/>
    <xf numFmtId="10" fontId="3" fillId="0" borderId="47" xfId="0" applyNumberFormat="1" applyFont="1" applyBorder="1"/>
    <xf numFmtId="0" fontId="4" fillId="0" borderId="32" xfId="0" applyFont="1" applyBorder="1"/>
    <xf numFmtId="3" fontId="4" fillId="0" borderId="47" xfId="0" applyNumberFormat="1" applyFont="1" applyBorder="1"/>
    <xf numFmtId="0" fontId="3" fillId="0" borderId="59" xfId="0" applyFont="1" applyBorder="1"/>
    <xf numFmtId="0" fontId="3" fillId="0" borderId="7" xfId="0" applyFont="1" applyBorder="1"/>
    <xf numFmtId="0" fontId="3" fillId="0" borderId="39" xfId="0" applyFont="1" applyBorder="1"/>
    <xf numFmtId="0" fontId="3" fillId="0" borderId="60" xfId="0" applyFont="1" applyBorder="1"/>
    <xf numFmtId="3" fontId="3" fillId="0" borderId="61" xfId="0" applyNumberFormat="1" applyFont="1" applyBorder="1"/>
    <xf numFmtId="0" fontId="4" fillId="0" borderId="59" xfId="0" applyFont="1" applyBorder="1" applyAlignment="1">
      <alignment horizontal="left" indent="1"/>
    </xf>
    <xf numFmtId="0" fontId="4" fillId="0" borderId="7" xfId="0" applyFont="1" applyBorder="1" applyAlignment="1">
      <alignment horizontal="left" indent="1"/>
    </xf>
    <xf numFmtId="3" fontId="4" fillId="0" borderId="62" xfId="0" applyNumberFormat="1" applyFont="1" applyBorder="1"/>
    <xf numFmtId="0" fontId="4" fillId="0" borderId="63" xfId="0" applyFont="1" applyBorder="1" applyAlignment="1">
      <alignment horizontal="left" indent="1"/>
    </xf>
    <xf numFmtId="0" fontId="3" fillId="0" borderId="43" xfId="0" applyFont="1" applyBorder="1"/>
    <xf numFmtId="0" fontId="3" fillId="0" borderId="4" xfId="0" applyFont="1" applyBorder="1" applyAlignment="1">
      <alignment horizontal="center"/>
    </xf>
    <xf numFmtId="8" fontId="3" fillId="0" borderId="0" xfId="0" applyNumberFormat="1" applyFont="1"/>
    <xf numFmtId="37" fontId="15" fillId="0" borderId="28" xfId="0" applyNumberFormat="1" applyFont="1" applyBorder="1"/>
    <xf numFmtId="181" fontId="15" fillId="0" borderId="47" xfId="0" applyNumberFormat="1" applyFont="1" applyBorder="1"/>
    <xf numFmtId="0" fontId="4" fillId="0" borderId="57" xfId="0" applyFont="1" applyBorder="1" applyAlignment="1">
      <alignment horizontal="left" indent="1"/>
    </xf>
    <xf numFmtId="0" fontId="4" fillId="0" borderId="0" xfId="0" applyFont="1" applyAlignment="1">
      <alignment horizontal="left" indent="1"/>
    </xf>
    <xf numFmtId="0" fontId="4" fillId="0" borderId="32" xfId="0" applyFont="1" applyBorder="1" applyAlignment="1">
      <alignment horizontal="left" indent="1"/>
    </xf>
    <xf numFmtId="0" fontId="3" fillId="0" borderId="47" xfId="0" applyFont="1" applyBorder="1"/>
    <xf numFmtId="0" fontId="3" fillId="0" borderId="61" xfId="0" applyFont="1" applyBorder="1"/>
    <xf numFmtId="0" fontId="4" fillId="0" borderId="63" xfId="0" applyFont="1" applyBorder="1"/>
    <xf numFmtId="178" fontId="4" fillId="0" borderId="62" xfId="0" applyNumberFormat="1" applyFont="1" applyBorder="1"/>
    <xf numFmtId="0" fontId="3" fillId="0" borderId="6" xfId="0" applyFont="1" applyBorder="1"/>
    <xf numFmtId="0" fontId="3" fillId="0" borderId="8" xfId="0" applyFont="1" applyBorder="1"/>
    <xf numFmtId="10" fontId="17" fillId="0" borderId="5" xfId="0" applyNumberFormat="1" applyFont="1" applyBorder="1"/>
    <xf numFmtId="182" fontId="15" fillId="0" borderId="0" xfId="0" applyNumberFormat="1" applyFont="1"/>
    <xf numFmtId="182" fontId="16" fillId="0" borderId="19" xfId="0" applyNumberFormat="1" applyFont="1" applyBorder="1"/>
    <xf numFmtId="182" fontId="16" fillId="0" borderId="31" xfId="0" applyNumberFormat="1" applyFont="1" applyBorder="1"/>
    <xf numFmtId="182" fontId="8" fillId="0" borderId="0" xfId="0" applyNumberFormat="1" applyFont="1"/>
    <xf numFmtId="182" fontId="3" fillId="0" borderId="0" xfId="0" applyNumberFormat="1" applyFont="1"/>
    <xf numFmtId="182" fontId="3" fillId="0" borderId="28" xfId="0" applyNumberFormat="1" applyFont="1" applyBorder="1"/>
    <xf numFmtId="182" fontId="15" fillId="0" borderId="28" xfId="0" applyNumberFormat="1" applyFont="1" applyBorder="1"/>
    <xf numFmtId="182" fontId="4" fillId="0" borderId="19" xfId="0" applyNumberFormat="1" applyFont="1" applyBorder="1"/>
    <xf numFmtId="182" fontId="4" fillId="0" borderId="31" xfId="0" applyNumberFormat="1" applyFont="1" applyBorder="1"/>
    <xf numFmtId="182" fontId="21" fillId="7" borderId="34" xfId="0" applyNumberFormat="1" applyFont="1" applyFill="1" applyBorder="1"/>
    <xf numFmtId="182" fontId="21" fillId="7" borderId="40" xfId="0" applyNumberFormat="1" applyFont="1" applyFill="1" applyBorder="1"/>
    <xf numFmtId="182" fontId="21" fillId="7" borderId="24" xfId="0" applyNumberFormat="1" applyFont="1" applyFill="1" applyBorder="1"/>
    <xf numFmtId="182" fontId="21" fillId="7" borderId="41" xfId="0" applyNumberFormat="1" applyFont="1" applyFill="1" applyBorder="1"/>
    <xf numFmtId="182" fontId="4" fillId="0" borderId="43" xfId="0" applyNumberFormat="1" applyFont="1" applyBorder="1"/>
    <xf numFmtId="182" fontId="4" fillId="0" borderId="44" xfId="0" applyNumberFormat="1" applyFont="1" applyBorder="1"/>
    <xf numFmtId="182" fontId="4" fillId="0" borderId="45" xfId="0" applyNumberFormat="1" applyFont="1" applyBorder="1"/>
    <xf numFmtId="178" fontId="16" fillId="0" borderId="0" xfId="2" applyNumberFormat="1" applyFont="1"/>
    <xf numFmtId="178" fontId="15" fillId="0" borderId="0" xfId="0" applyNumberFormat="1" applyFont="1"/>
    <xf numFmtId="178" fontId="15" fillId="0" borderId="28" xfId="0" applyNumberFormat="1" applyFont="1" applyBorder="1"/>
    <xf numFmtId="183" fontId="17" fillId="0" borderId="0" xfId="0" applyNumberFormat="1" applyFont="1"/>
    <xf numFmtId="0" fontId="4" fillId="0" borderId="7" xfId="0" applyFont="1" applyBorder="1"/>
    <xf numFmtId="0" fontId="8" fillId="0" borderId="0" xfId="0" applyFont="1"/>
    <xf numFmtId="8" fontId="8" fillId="0" borderId="0" xfId="0" applyNumberFormat="1" applyFont="1"/>
    <xf numFmtId="8" fontId="23" fillId="0" borderId="0" xfId="0" applyNumberFormat="1" applyFont="1" applyAlignment="1">
      <alignment horizontal="center"/>
    </xf>
    <xf numFmtId="10" fontId="8" fillId="0" borderId="47" xfId="0" applyNumberFormat="1" applyFont="1" applyBorder="1"/>
    <xf numFmtId="0" fontId="8" fillId="0" borderId="5" xfId="0" applyFont="1" applyBorder="1"/>
    <xf numFmtId="180" fontId="8" fillId="0" borderId="30" xfId="0" applyNumberFormat="1" applyFont="1" applyBorder="1" applyAlignment="1">
      <alignment vertical="center"/>
    </xf>
    <xf numFmtId="181" fontId="8" fillId="0" borderId="47" xfId="0" applyNumberFormat="1" applyFont="1" applyBorder="1"/>
    <xf numFmtId="181" fontId="8" fillId="0" borderId="38" xfId="0" applyNumberFormat="1" applyFont="1" applyBorder="1"/>
    <xf numFmtId="181" fontId="8" fillId="0" borderId="28" xfId="0" applyNumberFormat="1" applyFont="1" applyBorder="1"/>
    <xf numFmtId="181" fontId="8" fillId="0" borderId="30" xfId="0" applyNumberFormat="1" applyFont="1" applyBorder="1"/>
    <xf numFmtId="1" fontId="17" fillId="0" borderId="47" xfId="0" applyNumberFormat="1" applyFont="1" applyBorder="1"/>
    <xf numFmtId="1" fontId="17" fillId="0" borderId="28" xfId="0" applyNumberFormat="1" applyFont="1" applyBorder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textRotation="90" wrapText="1"/>
    </xf>
    <xf numFmtId="0" fontId="4" fillId="8" borderId="1" xfId="0" applyFont="1" applyFill="1" applyBorder="1" applyAlignment="1">
      <alignment horizontal="center"/>
    </xf>
    <xf numFmtId="0" fontId="4" fillId="8" borderId="3" xfId="0" applyFont="1" applyFill="1" applyBorder="1" applyAlignment="1">
      <alignment horizontal="center"/>
    </xf>
    <xf numFmtId="0" fontId="4" fillId="8" borderId="0" xfId="0" applyFont="1" applyFill="1" applyAlignment="1">
      <alignment horizontal="center"/>
    </xf>
  </cellXfs>
  <cellStyles count="4">
    <cellStyle name="Comma" xfId="1" builtinId="3"/>
    <cellStyle name="Normal" xfId="0" builtinId="0"/>
    <cellStyle name="Normal 2" xfId="3" xr:uid="{288F57AC-B7AB-4AE5-A910-1B44AAE06CAE}"/>
    <cellStyle name="Percent" xfId="2" builtinId="5"/>
  </cellStyles>
  <dxfs count="0"/>
  <tableStyles count="0" defaultTableStyle="TableStyleMedium2" defaultPivotStyle="PivotStyleLight16"/>
  <colors>
    <mruColors>
      <color rgb="FF0000FF"/>
      <color rgb="FFFFF2CC"/>
      <color rgb="FFE7E6E6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136922</xdr:colOff>
      <xdr:row>7</xdr:row>
      <xdr:rowOff>2033</xdr:rowOff>
    </xdr:from>
    <xdr:to>
      <xdr:col>8</xdr:col>
      <xdr:colOff>59119</xdr:colOff>
      <xdr:row>8</xdr:row>
      <xdr:rowOff>13500</xdr:rowOff>
    </xdr:to>
    <xdr:pic>
      <xdr:nvPicPr>
        <xdr:cNvPr id="3" name="Picture 2" descr="Nvidia Logo, symbol, meaning, history, PNG, brand">
          <a:extLst>
            <a:ext uri="{FF2B5EF4-FFF2-40B4-BE49-F238E27FC236}">
              <a16:creationId xmlns:a16="http://schemas.microsoft.com/office/drawing/2014/main" id="{C9DDA065-E344-CB67-44AB-B681CA237D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3641" y="1347439"/>
          <a:ext cx="696103" cy="4043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994F6-D6C7-4E5B-B140-A81C0B34639F}">
  <sheetPr>
    <tabColor rgb="FF92D050"/>
  </sheetPr>
  <dimension ref="C6:I12"/>
  <sheetViews>
    <sheetView showGridLines="0" tabSelected="1" zoomScale="175" zoomScaleNormal="175" workbookViewId="0">
      <selection activeCell="E10" sqref="E10"/>
    </sheetView>
  </sheetViews>
  <sheetFormatPr defaultRowHeight="15" x14ac:dyDescent="0.25"/>
  <cols>
    <col min="3" max="3" width="6.28515625" customWidth="1"/>
    <col min="5" max="5" width="11.5703125" bestFit="1" customWidth="1"/>
    <col min="8" max="8" width="11.5703125" bestFit="1" customWidth="1"/>
    <col min="9" max="9" width="6.28515625" customWidth="1"/>
  </cols>
  <sheetData>
    <row r="6" spans="3:9" ht="15.75" thickBot="1" x14ac:dyDescent="0.3"/>
    <row r="7" spans="3:9" x14ac:dyDescent="0.25">
      <c r="C7" s="1"/>
      <c r="D7" s="2"/>
      <c r="E7" s="2"/>
      <c r="F7" s="2"/>
      <c r="G7" s="2"/>
      <c r="H7" s="2"/>
      <c r="I7" s="3"/>
    </row>
    <row r="8" spans="3:9" ht="30.75" x14ac:dyDescent="0.45">
      <c r="C8" s="4"/>
      <c r="D8" s="12" t="s">
        <v>0</v>
      </c>
      <c r="E8" s="9"/>
      <c r="F8" s="9"/>
      <c r="H8" s="9"/>
      <c r="I8" s="5"/>
    </row>
    <row r="9" spans="3:9" x14ac:dyDescent="0.25">
      <c r="C9" s="4"/>
      <c r="D9" s="23" t="s">
        <v>1</v>
      </c>
      <c r="E9" s="24"/>
      <c r="F9" s="24"/>
      <c r="G9" s="24"/>
      <c r="H9" s="24"/>
      <c r="I9" s="5"/>
    </row>
    <row r="10" spans="3:9" x14ac:dyDescent="0.25">
      <c r="C10" s="4"/>
      <c r="D10" s="10" t="s">
        <v>2</v>
      </c>
      <c r="E10" s="10" t="s">
        <v>3</v>
      </c>
      <c r="F10" s="10"/>
      <c r="G10" s="10" t="s">
        <v>6</v>
      </c>
      <c r="H10" s="11">
        <f ca="1">TODAY()</f>
        <v>45623</v>
      </c>
      <c r="I10" s="5"/>
    </row>
    <row r="11" spans="3:9" x14ac:dyDescent="0.25">
      <c r="C11" s="4"/>
      <c r="D11" s="10" t="s">
        <v>4</v>
      </c>
      <c r="E11" s="10" t="s">
        <v>5</v>
      </c>
      <c r="F11" s="10"/>
      <c r="G11" s="10"/>
      <c r="H11" s="10"/>
      <c r="I11" s="5"/>
    </row>
    <row r="12" spans="3:9" ht="15.75" thickBot="1" x14ac:dyDescent="0.3">
      <c r="C12" s="6"/>
      <c r="D12" s="7"/>
      <c r="E12" s="7"/>
      <c r="F12" s="7"/>
      <c r="G12" s="7"/>
      <c r="H12" s="7"/>
      <c r="I12" s="8"/>
    </row>
  </sheetData>
  <pageMargins left="0.7" right="0.7" top="0.75" bottom="0.75" header="0.3" footer="0.3"/>
  <pageSetup paperSize="0" orientation="portrait" horizontalDpi="0" verticalDpi="0" copie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5DA48-09F1-414A-A07C-A0EE2BAE1CE5}">
  <sheetPr>
    <tabColor theme="0"/>
    <pageSetUpPr autoPageBreaks="0"/>
  </sheetPr>
  <dimension ref="A1:V151"/>
  <sheetViews>
    <sheetView showGridLines="0" zoomScale="85" zoomScaleNormal="85" workbookViewId="0"/>
  </sheetViews>
  <sheetFormatPr defaultRowHeight="13.5" x14ac:dyDescent="0.25"/>
  <cols>
    <col min="1" max="1" width="1.85546875" style="10" customWidth="1"/>
    <col min="2" max="2" width="48.7109375" style="10" customWidth="1"/>
    <col min="3" max="12" width="10.5703125" style="10" customWidth="1"/>
    <col min="13" max="13" width="1.5703125" style="10" customWidth="1"/>
    <col min="14" max="16384" width="9.140625" style="10"/>
  </cols>
  <sheetData>
    <row r="1" spans="1:22" ht="30.75" x14ac:dyDescent="0.45">
      <c r="A1" s="14" t="str">
        <f>Cover!D8</f>
        <v>NVIDIA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</row>
    <row r="2" spans="1:22" x14ac:dyDescent="0.25">
      <c r="A2" s="15" t="str">
        <f>Cover!D9</f>
        <v>Three Statement Operating  Model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</row>
    <row r="4" spans="1:22" x14ac:dyDescent="0.25">
      <c r="A4" s="10" t="s">
        <v>7</v>
      </c>
      <c r="B4" s="16" t="s">
        <v>8</v>
      </c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</row>
    <row r="5" spans="1:22" ht="6.75" customHeight="1" x14ac:dyDescent="0.25"/>
    <row r="6" spans="1:22" x14ac:dyDescent="0.25">
      <c r="B6" s="17" t="s">
        <v>9</v>
      </c>
      <c r="C6" s="17"/>
      <c r="D6" s="17"/>
      <c r="E6" s="17"/>
      <c r="F6" s="17"/>
      <c r="G6" s="17"/>
      <c r="H6" s="88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</row>
    <row r="7" spans="1:22" ht="6.75" customHeight="1" x14ac:dyDescent="0.25"/>
    <row r="8" spans="1:22" ht="15" x14ac:dyDescent="0.3">
      <c r="B8" s="18" t="s">
        <v>10</v>
      </c>
      <c r="C8" s="19">
        <v>2020</v>
      </c>
      <c r="D8" s="19">
        <f>C8+1</f>
        <v>2021</v>
      </c>
      <c r="E8" s="19">
        <f>D8+1</f>
        <v>2022</v>
      </c>
      <c r="F8" s="19">
        <f>E8+1</f>
        <v>2023</v>
      </c>
      <c r="G8" s="19">
        <f t="shared" ref="G8:L8" si="0">F8+1</f>
        <v>2024</v>
      </c>
      <c r="H8" s="20">
        <f t="shared" si="0"/>
        <v>2025</v>
      </c>
      <c r="I8" s="20">
        <f t="shared" si="0"/>
        <v>2026</v>
      </c>
      <c r="J8" s="20">
        <f t="shared" si="0"/>
        <v>2027</v>
      </c>
      <c r="K8" s="20">
        <f t="shared" si="0"/>
        <v>2028</v>
      </c>
      <c r="L8" s="20">
        <f t="shared" si="0"/>
        <v>2029</v>
      </c>
      <c r="M8" s="21"/>
      <c r="N8" s="30" t="s">
        <v>28</v>
      </c>
    </row>
    <row r="9" spans="1:22" x14ac:dyDescent="0.25">
      <c r="B9" s="10" t="s">
        <v>11</v>
      </c>
      <c r="C9" s="28"/>
      <c r="D9" s="49">
        <f>D38/C38-1</f>
        <v>0.52729437625938824</v>
      </c>
      <c r="E9" s="49">
        <f>E38/D38-1</f>
        <v>0.61403298350824587</v>
      </c>
      <c r="F9" s="49">
        <f>F38/E38-1</f>
        <v>2.2293230289069932E-3</v>
      </c>
      <c r="G9" s="49">
        <f t="shared" ref="G9" si="1">G38/F38-1</f>
        <v>1.2585452658115224</v>
      </c>
      <c r="H9" s="50">
        <f>'Revenue Growth Rate'!C32</f>
        <v>0.57669903094062203</v>
      </c>
      <c r="I9" s="50">
        <f>H9+$N$9</f>
        <v>0.47669903094062205</v>
      </c>
      <c r="J9" s="50">
        <f t="shared" ref="J9:L9" si="2">I9+$N$9</f>
        <v>0.37669903094062207</v>
      </c>
      <c r="K9" s="50">
        <f t="shared" si="2"/>
        <v>0.27669903094062209</v>
      </c>
      <c r="L9" s="50">
        <f t="shared" si="2"/>
        <v>0.17669903094062209</v>
      </c>
      <c r="N9" s="110">
        <v>-0.1</v>
      </c>
    </row>
    <row r="10" spans="1:22" x14ac:dyDescent="0.25">
      <c r="B10" s="10" t="s">
        <v>12</v>
      </c>
      <c r="C10" s="49">
        <f>C40/C38</f>
        <v>0.61989375343469499</v>
      </c>
      <c r="D10" s="49">
        <f>D40/D38</f>
        <v>0.62344827586206897</v>
      </c>
      <c r="E10" s="49">
        <f t="shared" ref="E10:G10" si="3">E40/E38</f>
        <v>0.64929033216913135</v>
      </c>
      <c r="F10" s="49">
        <f t="shared" si="3"/>
        <v>0.56928894490991322</v>
      </c>
      <c r="G10" s="49">
        <f t="shared" si="3"/>
        <v>0.72717573290436954</v>
      </c>
      <c r="H10" s="50">
        <f>AVERAGE($C$10:$G$10)</f>
        <v>0.63781940785603564</v>
      </c>
      <c r="I10" s="50">
        <f t="shared" ref="I10:L10" si="4">AVERAGE($C$10:$G$10)</f>
        <v>0.63781940785603564</v>
      </c>
      <c r="J10" s="50">
        <f t="shared" si="4"/>
        <v>0.63781940785603564</v>
      </c>
      <c r="K10" s="50">
        <f t="shared" si="4"/>
        <v>0.63781940785603564</v>
      </c>
      <c r="L10" s="50">
        <f t="shared" si="4"/>
        <v>0.63781940785603564</v>
      </c>
      <c r="N10" s="29"/>
    </row>
    <row r="11" spans="1:22" x14ac:dyDescent="0.25">
      <c r="B11" s="10" t="s">
        <v>58</v>
      </c>
      <c r="C11" s="49">
        <f>C42/C38</f>
        <v>0.25911339073090311</v>
      </c>
      <c r="D11" s="49">
        <f t="shared" ref="D11:G11" si="5">D42/D38</f>
        <v>0.2353223388305847</v>
      </c>
      <c r="E11" s="49">
        <f t="shared" si="5"/>
        <v>0.19573456193802483</v>
      </c>
      <c r="F11" s="49">
        <f t="shared" si="5"/>
        <v>0.27207681471046191</v>
      </c>
      <c r="G11" s="49">
        <f t="shared" si="5"/>
        <v>0.14239519385443683</v>
      </c>
      <c r="H11" s="50">
        <f>AVERAGE($C$11:$G$11)</f>
        <v>0.2209284600128823</v>
      </c>
      <c r="I11" s="50">
        <f t="shared" ref="I11:L11" si="6">AVERAGE($C$11:$G$11)</f>
        <v>0.2209284600128823</v>
      </c>
      <c r="J11" s="50">
        <f t="shared" si="6"/>
        <v>0.2209284600128823</v>
      </c>
      <c r="K11" s="50">
        <f t="shared" si="6"/>
        <v>0.2209284600128823</v>
      </c>
      <c r="L11" s="50">
        <f t="shared" si="6"/>
        <v>0.2209284600128823</v>
      </c>
      <c r="N11" s="29"/>
    </row>
    <row r="12" spans="1:22" x14ac:dyDescent="0.25">
      <c r="B12" s="10" t="s">
        <v>13</v>
      </c>
      <c r="C12" s="49">
        <f>C44/C38</f>
        <v>0.2606704524638212</v>
      </c>
      <c r="D12" s="49">
        <f t="shared" ref="D12:G12" si="7">D44/D38</f>
        <v>0.27178410794602698</v>
      </c>
      <c r="E12" s="49">
        <f t="shared" si="7"/>
        <v>0.37307720888756779</v>
      </c>
      <c r="F12" s="49">
        <f t="shared" si="7"/>
        <v>0.1565952398606065</v>
      </c>
      <c r="G12" s="49">
        <f t="shared" si="7"/>
        <v>0.54121663766783756</v>
      </c>
      <c r="H12" s="50">
        <f>AVERAGE($C$12:$G$12)</f>
        <v>0.32066872936517199</v>
      </c>
      <c r="I12" s="50">
        <f t="shared" ref="I12:L12" si="8">AVERAGE($C$12:$G$12)</f>
        <v>0.32066872936517199</v>
      </c>
      <c r="J12" s="50">
        <f t="shared" si="8"/>
        <v>0.32066872936517199</v>
      </c>
      <c r="K12" s="50">
        <f t="shared" si="8"/>
        <v>0.32066872936517199</v>
      </c>
      <c r="L12" s="50">
        <f t="shared" si="8"/>
        <v>0.32066872936517199</v>
      </c>
      <c r="N12" s="29"/>
    </row>
    <row r="13" spans="1:22" x14ac:dyDescent="0.25">
      <c r="B13" s="10" t="s">
        <v>14</v>
      </c>
      <c r="C13" s="49">
        <f>C47/C38</f>
        <v>-1.8318373328448433E-4</v>
      </c>
      <c r="D13" s="49">
        <f t="shared" ref="D13:G13" si="9">D47/D38</f>
        <v>2.39880059970015E-4</v>
      </c>
      <c r="E13" s="49">
        <f t="shared" si="9"/>
        <v>3.9756260682172846E-3</v>
      </c>
      <c r="F13" s="49">
        <f t="shared" si="9"/>
        <v>-1.7794913620523467E-3</v>
      </c>
      <c r="G13" s="49">
        <f t="shared" si="9"/>
        <v>3.8902202816716459E-3</v>
      </c>
      <c r="H13" s="51">
        <f>AVERAGE($C$13:$G$13)</f>
        <v>1.2286102629044228E-3</v>
      </c>
      <c r="I13" s="51">
        <f t="shared" ref="I13:L13" si="10">AVERAGE($C$13:$G$13)</f>
        <v>1.2286102629044228E-3</v>
      </c>
      <c r="J13" s="51">
        <f t="shared" si="10"/>
        <v>1.2286102629044228E-3</v>
      </c>
      <c r="K13" s="51">
        <f t="shared" si="10"/>
        <v>1.2286102629044228E-3</v>
      </c>
      <c r="L13" s="51">
        <f t="shared" si="10"/>
        <v>1.2286102629044228E-3</v>
      </c>
      <c r="N13" s="29"/>
    </row>
    <row r="14" spans="1:22" x14ac:dyDescent="0.25">
      <c r="B14" s="10" t="s">
        <v>63</v>
      </c>
      <c r="C14" s="49">
        <f>C50/C48</f>
        <v>5.8585858585858588E-2</v>
      </c>
      <c r="D14" s="49">
        <f t="shared" ref="D14:G14" si="11">D50/D48</f>
        <v>1.7464277613971423E-2</v>
      </c>
      <c r="E14" s="49">
        <f t="shared" si="11"/>
        <v>1.9012171813700834E-2</v>
      </c>
      <c r="F14" s="49">
        <f t="shared" si="11"/>
        <v>-4.4726142071274816E-2</v>
      </c>
      <c r="G14" s="49">
        <f t="shared" si="11"/>
        <v>0.1199952687917677</v>
      </c>
      <c r="H14" s="87">
        <v>0.14000000000000001</v>
      </c>
      <c r="I14" s="50">
        <f>H14</f>
        <v>0.14000000000000001</v>
      </c>
      <c r="J14" s="50">
        <f t="shared" ref="J14:L14" si="12">I14</f>
        <v>0.14000000000000001</v>
      </c>
      <c r="K14" s="50">
        <f t="shared" si="12"/>
        <v>0.14000000000000001</v>
      </c>
      <c r="L14" s="50">
        <f t="shared" si="12"/>
        <v>0.14000000000000001</v>
      </c>
      <c r="N14" s="29"/>
    </row>
    <row r="15" spans="1:22" ht="6.75" customHeight="1" x14ac:dyDescent="0.25"/>
    <row r="16" spans="1:22" x14ac:dyDescent="0.25">
      <c r="B16" s="17" t="s">
        <v>15</v>
      </c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</row>
    <row r="17" spans="2:14" ht="6.75" customHeight="1" x14ac:dyDescent="0.25"/>
    <row r="18" spans="2:14" x14ac:dyDescent="0.25">
      <c r="B18" s="10" t="s">
        <v>16</v>
      </c>
      <c r="C18" s="84">
        <f>C59/C39*365</f>
        <v>86.104819277108433</v>
      </c>
      <c r="D18" s="84">
        <f t="shared" ref="D18:G18" si="13">D59/D39*365</f>
        <v>106.14588310240484</v>
      </c>
      <c r="E18" s="84">
        <f t="shared" si="13"/>
        <v>100.73365822650703</v>
      </c>
      <c r="F18" s="84">
        <f t="shared" si="13"/>
        <v>162.079101394388</v>
      </c>
      <c r="G18" s="84">
        <f t="shared" si="13"/>
        <v>115.99362252572048</v>
      </c>
      <c r="H18" s="85">
        <f>AVERAGE($C$18:$G$18)</f>
        <v>114.21141690522578</v>
      </c>
      <c r="I18" s="85">
        <f t="shared" ref="I18:L18" si="14">AVERAGE($C$18:$G$18)</f>
        <v>114.21141690522578</v>
      </c>
      <c r="J18" s="85">
        <f t="shared" si="14"/>
        <v>114.21141690522578</v>
      </c>
      <c r="K18" s="85">
        <f t="shared" si="14"/>
        <v>114.21141690522578</v>
      </c>
      <c r="L18" s="85">
        <f t="shared" si="14"/>
        <v>114.21141690522578</v>
      </c>
      <c r="N18" s="29"/>
    </row>
    <row r="19" spans="2:14" x14ac:dyDescent="0.25">
      <c r="B19" s="10" t="s">
        <v>17</v>
      </c>
      <c r="C19" s="86">
        <f>C70/C39*365</f>
        <v>60.422891566265058</v>
      </c>
      <c r="D19" s="86">
        <f t="shared" ref="D19:G19" si="15">D70/D39*365</f>
        <v>66.791686574295269</v>
      </c>
      <c r="E19" s="86">
        <f t="shared" si="15"/>
        <v>68.947452060599645</v>
      </c>
      <c r="F19" s="86">
        <f t="shared" si="15"/>
        <v>37.480203133069374</v>
      </c>
      <c r="G19" s="86">
        <f t="shared" si="15"/>
        <v>59.270501173214605</v>
      </c>
      <c r="H19" s="85">
        <f>AVERAGE($C$19:$G$19)</f>
        <v>58.582546901488783</v>
      </c>
      <c r="I19" s="85">
        <f t="shared" ref="I19:L19" si="16">AVERAGE($C$19:$G$19)</f>
        <v>58.582546901488783</v>
      </c>
      <c r="J19" s="85">
        <f t="shared" si="16"/>
        <v>58.582546901488783</v>
      </c>
      <c r="K19" s="85">
        <f t="shared" si="16"/>
        <v>58.582546901488783</v>
      </c>
      <c r="L19" s="85">
        <f t="shared" si="16"/>
        <v>58.582546901488783</v>
      </c>
      <c r="N19" s="29"/>
    </row>
    <row r="20" spans="2:14" x14ac:dyDescent="0.25">
      <c r="B20" s="10" t="s">
        <v>69</v>
      </c>
      <c r="C20" s="67">
        <f>C58/C38*365</f>
        <v>55.395218904561268</v>
      </c>
      <c r="D20" s="67">
        <f t="shared" ref="D20:G20" si="17">D58/D38*365</f>
        <v>53.168515742128939</v>
      </c>
      <c r="E20" s="67">
        <f t="shared" si="17"/>
        <v>63.061975180203611</v>
      </c>
      <c r="F20" s="67">
        <f t="shared" si="17"/>
        <v>51.785237636242307</v>
      </c>
      <c r="G20" s="67">
        <f t="shared" si="17"/>
        <v>59.906683956534586</v>
      </c>
      <c r="H20" s="68">
        <f>AVERAGE($C$20:$G$20)</f>
        <v>56.663526283934139</v>
      </c>
      <c r="I20" s="69">
        <f t="shared" ref="I20:L20" si="18">AVERAGE($C$20:$G$20)</f>
        <v>56.663526283934139</v>
      </c>
      <c r="J20" s="69">
        <f t="shared" si="18"/>
        <v>56.663526283934139</v>
      </c>
      <c r="K20" s="69">
        <f t="shared" si="18"/>
        <v>56.663526283934139</v>
      </c>
      <c r="L20" s="69">
        <f t="shared" si="18"/>
        <v>56.663526283934139</v>
      </c>
      <c r="N20" s="29"/>
    </row>
    <row r="21" spans="2:14" x14ac:dyDescent="0.25">
      <c r="B21" s="10" t="s">
        <v>18</v>
      </c>
      <c r="C21" s="70">
        <f>C60/C38</f>
        <v>1.437992306283202E-2</v>
      </c>
      <c r="D21" s="70">
        <f t="shared" ref="D21:G21" si="19">D60/D38</f>
        <v>1.4332833583208396E-2</v>
      </c>
      <c r="E21" s="70">
        <f t="shared" si="19"/>
        <v>1.359887047633202E-2</v>
      </c>
      <c r="F21" s="70">
        <f t="shared" si="19"/>
        <v>2.9324534737154295E-2</v>
      </c>
      <c r="G21" s="70">
        <f t="shared" si="19"/>
        <v>5.0556449230163163E-2</v>
      </c>
      <c r="H21" s="51">
        <f>AVERAGE($C$21:$G$21)</f>
        <v>2.4438522217937981E-2</v>
      </c>
      <c r="I21" s="51">
        <f t="shared" ref="I21:L21" si="20">AVERAGE($C$21:$G$21)</f>
        <v>2.4438522217937981E-2</v>
      </c>
      <c r="J21" s="51">
        <f t="shared" si="20"/>
        <v>2.4438522217937981E-2</v>
      </c>
      <c r="K21" s="51">
        <f t="shared" si="20"/>
        <v>2.4438522217937981E-2</v>
      </c>
      <c r="L21" s="51">
        <f t="shared" si="20"/>
        <v>2.4438522217937981E-2</v>
      </c>
      <c r="N21" s="29"/>
    </row>
    <row r="22" spans="2:14" x14ac:dyDescent="0.25">
      <c r="B22" s="10" t="s">
        <v>19</v>
      </c>
      <c r="C22" s="49">
        <f>-C95/C38</f>
        <v>4.478842278805642E-2</v>
      </c>
      <c r="D22" s="49">
        <f t="shared" ref="D22:G22" si="21">-D95/D38</f>
        <v>6.7646176911544231E-2</v>
      </c>
      <c r="E22" s="49">
        <f t="shared" si="21"/>
        <v>3.6263654603552055E-2</v>
      </c>
      <c r="F22" s="49">
        <f t="shared" si="21"/>
        <v>6.7954326388373995E-2</v>
      </c>
      <c r="G22" s="49">
        <f t="shared" si="21"/>
        <v>1.7547027346442992E-2</v>
      </c>
      <c r="H22" s="50">
        <f>AVERAGE($C$22:$G$22)</f>
        <v>4.683992160759394E-2</v>
      </c>
      <c r="I22" s="50">
        <f t="shared" ref="I22:L22" si="22">AVERAGE($C$22:$G$22)</f>
        <v>4.683992160759394E-2</v>
      </c>
      <c r="J22" s="50">
        <f t="shared" si="22"/>
        <v>4.683992160759394E-2</v>
      </c>
      <c r="K22" s="50">
        <f t="shared" si="22"/>
        <v>4.683992160759394E-2</v>
      </c>
      <c r="L22" s="50">
        <f t="shared" si="22"/>
        <v>4.683992160759394E-2</v>
      </c>
      <c r="N22" s="29"/>
    </row>
    <row r="23" spans="2:14" x14ac:dyDescent="0.25">
      <c r="B23" s="10" t="s">
        <v>20</v>
      </c>
      <c r="C23" s="49">
        <f>-C89/C95</f>
        <v>0.77914110429447858</v>
      </c>
      <c r="D23" s="49">
        <f t="shared" ref="D23:G23" si="23">-D89/D95</f>
        <v>0.97340425531914898</v>
      </c>
      <c r="E23" s="49">
        <f t="shared" si="23"/>
        <v>1.2028688524590163</v>
      </c>
      <c r="F23" s="49">
        <f t="shared" si="23"/>
        <v>0.84233496999454449</v>
      </c>
      <c r="G23" s="49">
        <f t="shared" si="23"/>
        <v>1.4106641721234798</v>
      </c>
      <c r="H23" s="50">
        <f>AVERAGE($C$23:$G$23)</f>
        <v>1.0416826708381337</v>
      </c>
      <c r="I23" s="50">
        <f>H23+$N$23</f>
        <v>1.0516826708381337</v>
      </c>
      <c r="J23" s="50">
        <f t="shared" ref="J23:L23" si="24">I23+$N$23</f>
        <v>1.0616826708381337</v>
      </c>
      <c r="K23" s="50">
        <f t="shared" si="24"/>
        <v>1.0716826708381337</v>
      </c>
      <c r="L23" s="50">
        <f t="shared" si="24"/>
        <v>1.0816826708381337</v>
      </c>
      <c r="N23" s="110">
        <v>0.01</v>
      </c>
    </row>
    <row r="24" spans="2:14" x14ac:dyDescent="0.25">
      <c r="B24" s="10" t="s">
        <v>121</v>
      </c>
      <c r="C24" s="49">
        <f>C66/C38</f>
        <v>7.0525737314526471E-3</v>
      </c>
      <c r="D24" s="49">
        <f t="shared" ref="D24:G24" si="25">D66/D38</f>
        <v>8.6356821589205403E-3</v>
      </c>
      <c r="E24" s="49">
        <f t="shared" si="25"/>
        <v>9.8833320948205402E-3</v>
      </c>
      <c r="F24" s="49">
        <f t="shared" si="25"/>
        <v>1.1084748276117743E-2</v>
      </c>
      <c r="G24" s="49">
        <f t="shared" si="25"/>
        <v>2.537671120449099E-2</v>
      </c>
      <c r="H24" s="50">
        <f>AVERAGE($C$24:$G$24)</f>
        <v>1.2406609493160492E-2</v>
      </c>
      <c r="I24" s="50">
        <f t="shared" ref="I24:L24" si="26">AVERAGE($C$24:$G$24)</f>
        <v>1.2406609493160492E-2</v>
      </c>
      <c r="J24" s="50">
        <f t="shared" si="26"/>
        <v>1.2406609493160492E-2</v>
      </c>
      <c r="K24" s="50">
        <f t="shared" si="26"/>
        <v>1.2406609493160492E-2</v>
      </c>
      <c r="L24" s="50">
        <f t="shared" si="26"/>
        <v>1.2406609493160492E-2</v>
      </c>
      <c r="N24" s="29"/>
    </row>
    <row r="25" spans="2:14" x14ac:dyDescent="0.25">
      <c r="B25" s="10" t="s">
        <v>21</v>
      </c>
      <c r="C25" s="49">
        <f>C67/C38</f>
        <v>5.3947609452280637E-2</v>
      </c>
      <c r="D25" s="49">
        <f t="shared" ref="D25:G25" si="27">D67/D38</f>
        <v>0.16827586206896553</v>
      </c>
      <c r="E25" s="49">
        <f t="shared" si="27"/>
        <v>0.17823437616110574</v>
      </c>
      <c r="F25" s="49">
        <f t="shared" si="27"/>
        <v>0.25643211981908504</v>
      </c>
      <c r="G25" s="49">
        <f t="shared" si="27"/>
        <v>0.14830438921900135</v>
      </c>
      <c r="H25" s="50">
        <f>AVERAGE($C$25:$G$25)</f>
        <v>0.16103887134408768</v>
      </c>
      <c r="I25" s="50">
        <f t="shared" ref="I25:L25" si="28">AVERAGE($C$25:$G$25)</f>
        <v>0.16103887134408768</v>
      </c>
      <c r="J25" s="50">
        <f t="shared" si="28"/>
        <v>0.16103887134408768</v>
      </c>
      <c r="K25" s="50">
        <f t="shared" si="28"/>
        <v>0.16103887134408768</v>
      </c>
      <c r="L25" s="50">
        <f t="shared" si="28"/>
        <v>0.16103887134408768</v>
      </c>
      <c r="N25" s="29"/>
    </row>
    <row r="26" spans="2:14" x14ac:dyDescent="0.25">
      <c r="B26" s="10" t="s">
        <v>22</v>
      </c>
      <c r="C26" s="49">
        <f>C71/C38</f>
        <v>0.10047627770653966</v>
      </c>
      <c r="D26" s="49">
        <f t="shared" ref="D26:G26" si="29">D71/D38</f>
        <v>0.10656671664167916</v>
      </c>
      <c r="E26" s="49">
        <f t="shared" si="29"/>
        <v>9.4820539496173001E-2</v>
      </c>
      <c r="F26" s="49">
        <f t="shared" si="29"/>
        <v>0.15273967524282642</v>
      </c>
      <c r="G26" s="49">
        <f t="shared" si="29"/>
        <v>0.10968123173894488</v>
      </c>
      <c r="H26" s="50">
        <f>AVERAGE($C$26:$G$26)</f>
        <v>0.11285688816523261</v>
      </c>
      <c r="I26" s="50">
        <f t="shared" ref="I26:L26" si="30">AVERAGE($C$26:$G$26)</f>
        <v>0.11285688816523261</v>
      </c>
      <c r="J26" s="50">
        <f t="shared" si="30"/>
        <v>0.11285688816523261</v>
      </c>
      <c r="K26" s="50">
        <f t="shared" si="30"/>
        <v>0.11285688816523261</v>
      </c>
      <c r="L26" s="50">
        <f t="shared" si="30"/>
        <v>0.11285688816523261</v>
      </c>
      <c r="N26" s="29"/>
    </row>
    <row r="27" spans="2:14" x14ac:dyDescent="0.25">
      <c r="B27" s="10" t="s">
        <v>23</v>
      </c>
      <c r="C27" s="49">
        <f>C64/C38</f>
        <v>5.6603773584905662E-2</v>
      </c>
      <c r="D27" s="49">
        <f t="shared" ref="D27:G27" si="31">D64/D38</f>
        <v>4.2398800599700151E-2</v>
      </c>
      <c r="E27" s="49">
        <f t="shared" si="31"/>
        <v>3.0801813182730179E-2</v>
      </c>
      <c r="F27" s="49">
        <f t="shared" si="31"/>
        <v>3.8481500704381999E-2</v>
      </c>
      <c r="G27" s="49">
        <f t="shared" si="31"/>
        <v>2.2093824890844029E-2</v>
      </c>
      <c r="H27" s="50">
        <f>AVERAGE($C$27:$G$27)</f>
        <v>3.8075942592512402E-2</v>
      </c>
      <c r="I27" s="50">
        <f t="shared" ref="I27:L27" si="32">AVERAGE($C$27:$G$27)</f>
        <v>3.8075942592512402E-2</v>
      </c>
      <c r="J27" s="50">
        <f t="shared" si="32"/>
        <v>3.8075942592512402E-2</v>
      </c>
      <c r="K27" s="50">
        <f t="shared" si="32"/>
        <v>3.8075942592512402E-2</v>
      </c>
      <c r="L27" s="50">
        <f t="shared" si="32"/>
        <v>3.8075942592512402E-2</v>
      </c>
      <c r="N27" s="29"/>
    </row>
    <row r="28" spans="2:14" x14ac:dyDescent="0.25">
      <c r="B28" s="10" t="s">
        <v>24</v>
      </c>
      <c r="C28" s="49">
        <f>C75/C38</f>
        <v>5.1383037186297859E-2</v>
      </c>
      <c r="D28" s="49">
        <f t="shared" ref="D28:G28" si="33">D75/D38</f>
        <v>3.8020989505247377E-2</v>
      </c>
      <c r="E28" s="49">
        <f t="shared" si="33"/>
        <v>2.7532139407000073E-2</v>
      </c>
      <c r="F28" s="49">
        <f t="shared" si="33"/>
        <v>3.3439608511900351E-2</v>
      </c>
      <c r="G28" s="49">
        <f t="shared" si="33"/>
        <v>1.8367748924854731E-2</v>
      </c>
      <c r="H28" s="50">
        <f>AVERAGE($C$28:$G$28)</f>
        <v>3.3748704707060082E-2</v>
      </c>
      <c r="I28" s="50">
        <f t="shared" ref="I28:L28" si="34">AVERAGE($C$28:$G$28)</f>
        <v>3.3748704707060082E-2</v>
      </c>
      <c r="J28" s="50">
        <f t="shared" si="34"/>
        <v>3.3748704707060082E-2</v>
      </c>
      <c r="K28" s="50">
        <f t="shared" si="34"/>
        <v>3.3748704707060082E-2</v>
      </c>
      <c r="L28" s="50">
        <f t="shared" si="34"/>
        <v>3.3748704707060082E-2</v>
      </c>
      <c r="N28" s="29"/>
    </row>
    <row r="29" spans="2:14" x14ac:dyDescent="0.25">
      <c r="B29" s="10" t="s">
        <v>25</v>
      </c>
      <c r="C29" s="49">
        <f>C76/C38</f>
        <v>7.0983696647737682E-2</v>
      </c>
      <c r="D29" s="49">
        <f t="shared" ref="D29:G29" si="35">D76/D38</f>
        <v>8.2458770614692659E-2</v>
      </c>
      <c r="E29" s="49">
        <f t="shared" si="35"/>
        <v>5.77023110648733E-2</v>
      </c>
      <c r="F29" s="49">
        <f t="shared" si="35"/>
        <v>7.0920145325127901E-2</v>
      </c>
      <c r="G29" s="49">
        <f t="shared" si="35"/>
        <v>4.1709070614884609E-2</v>
      </c>
      <c r="H29" s="50">
        <f>AVERAGE($C$29:$G$29)</f>
        <v>6.4754798853463219E-2</v>
      </c>
      <c r="I29" s="50">
        <f t="shared" ref="I29:L29" si="36">AVERAGE($C$29:$G$29)</f>
        <v>6.4754798853463219E-2</v>
      </c>
      <c r="J29" s="50">
        <f t="shared" si="36"/>
        <v>6.4754798853463219E-2</v>
      </c>
      <c r="K29" s="50">
        <f t="shared" si="36"/>
        <v>6.4754798853463219E-2</v>
      </c>
      <c r="L29" s="50">
        <f t="shared" si="36"/>
        <v>6.4754798853463219E-2</v>
      </c>
      <c r="N29" s="29"/>
    </row>
    <row r="30" spans="2:14" x14ac:dyDescent="0.25">
      <c r="B30" s="10" t="s">
        <v>26</v>
      </c>
      <c r="C30" s="49">
        <f>-C102/C51</f>
        <v>0.13948497854077252</v>
      </c>
      <c r="D30" s="49">
        <f t="shared" ref="D30:G30" si="37">-D102/D51</f>
        <v>9.1181902123730382E-2</v>
      </c>
      <c r="E30" s="49">
        <f t="shared" si="37"/>
        <v>4.0914684167350286E-2</v>
      </c>
      <c r="F30" s="49">
        <f t="shared" si="37"/>
        <v>9.1117216117216113E-2</v>
      </c>
      <c r="G30" s="49">
        <f t="shared" si="37"/>
        <v>1.3272849462365592E-2</v>
      </c>
      <c r="H30" s="50">
        <f>AVERAGE($C$30:$G$30)</f>
        <v>7.5194326082286975E-2</v>
      </c>
      <c r="I30" s="50">
        <f t="shared" ref="I30:L30" si="38">AVERAGE($C$30:$G$30)</f>
        <v>7.5194326082286975E-2</v>
      </c>
      <c r="J30" s="50">
        <f t="shared" si="38"/>
        <v>7.5194326082286975E-2</v>
      </c>
      <c r="K30" s="50">
        <f t="shared" si="38"/>
        <v>7.5194326082286975E-2</v>
      </c>
      <c r="L30" s="50">
        <f t="shared" si="38"/>
        <v>7.5194326082286975E-2</v>
      </c>
      <c r="N30" s="29"/>
    </row>
    <row r="31" spans="2:14" x14ac:dyDescent="0.25">
      <c r="B31" s="10" t="s">
        <v>27</v>
      </c>
      <c r="C31" s="109">
        <f>-C101/C51</f>
        <v>0</v>
      </c>
      <c r="D31" s="109">
        <f t="shared" ref="D31:G31" si="39">-D101/D51</f>
        <v>0</v>
      </c>
      <c r="E31" s="109">
        <f t="shared" si="39"/>
        <v>0</v>
      </c>
      <c r="F31" s="109">
        <f t="shared" si="39"/>
        <v>2.2983058608058609</v>
      </c>
      <c r="G31" s="109">
        <f t="shared" si="39"/>
        <v>0.3203293010752688</v>
      </c>
      <c r="H31" s="48">
        <f>AVERAGE($C$31:$G$31)</f>
        <v>0.52372703237622598</v>
      </c>
      <c r="I31" s="48">
        <f t="shared" ref="I31:L31" si="40">AVERAGE($C$31:$G$31)</f>
        <v>0.52372703237622598</v>
      </c>
      <c r="J31" s="48">
        <f t="shared" si="40"/>
        <v>0.52372703237622598</v>
      </c>
      <c r="K31" s="48">
        <f t="shared" si="40"/>
        <v>0.52372703237622598</v>
      </c>
      <c r="L31" s="48">
        <f t="shared" si="40"/>
        <v>0.52372703237622598</v>
      </c>
      <c r="N31" s="29"/>
    </row>
    <row r="33" spans="1:22" ht="15" x14ac:dyDescent="0.3">
      <c r="A33" s="10" t="s">
        <v>7</v>
      </c>
      <c r="B33" s="37" t="s">
        <v>29</v>
      </c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</row>
    <row r="34" spans="1:22" ht="6.75" customHeight="1" x14ac:dyDescent="0.25"/>
    <row r="35" spans="1:22" ht="15" x14ac:dyDescent="0.3">
      <c r="A35" s="10" t="s">
        <v>7</v>
      </c>
      <c r="B35" s="58" t="s">
        <v>9</v>
      </c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</row>
    <row r="36" spans="1:22" ht="6.75" customHeight="1" x14ac:dyDescent="0.25"/>
    <row r="37" spans="1:22" ht="15.75" thickBot="1" x14ac:dyDescent="0.35">
      <c r="B37" s="59" t="s">
        <v>10</v>
      </c>
      <c r="C37" s="26">
        <f>$C$8</f>
        <v>2020</v>
      </c>
      <c r="D37" s="26">
        <f>$D$8</f>
        <v>2021</v>
      </c>
      <c r="E37" s="26">
        <f>$E$8</f>
        <v>2022</v>
      </c>
      <c r="F37" s="26">
        <f>$F$8</f>
        <v>2023</v>
      </c>
      <c r="G37" s="60">
        <f>$G$8</f>
        <v>2024</v>
      </c>
      <c r="H37" s="27">
        <f>$H$8</f>
        <v>2025</v>
      </c>
      <c r="I37" s="27">
        <f>$I$8</f>
        <v>2026</v>
      </c>
      <c r="J37" s="27">
        <f>$J$8</f>
        <v>2027</v>
      </c>
      <c r="K37" s="27">
        <f>$K$8</f>
        <v>2028</v>
      </c>
      <c r="L37" s="27">
        <f>$L$8</f>
        <v>2029</v>
      </c>
      <c r="M37" s="22">
        <f>M8</f>
        <v>0</v>
      </c>
    </row>
    <row r="38" spans="1:22" x14ac:dyDescent="0.25">
      <c r="B38" s="10" t="s">
        <v>30</v>
      </c>
      <c r="C38" s="53">
        <v>10918</v>
      </c>
      <c r="D38" s="53">
        <v>16675</v>
      </c>
      <c r="E38" s="53">
        <v>26914</v>
      </c>
      <c r="F38" s="53">
        <v>26974</v>
      </c>
      <c r="G38" s="61">
        <v>60922</v>
      </c>
      <c r="H38" s="54">
        <f>G38*(1+H9)</f>
        <v>96055.658362964576</v>
      </c>
      <c r="I38" s="54">
        <f>H38*(1+I9)</f>
        <v>141845.29762095324</v>
      </c>
      <c r="J38" s="54">
        <f>I38*(1+J9)</f>
        <v>195278.28377825042</v>
      </c>
      <c r="K38" s="54">
        <f>J38*(1+K9)</f>
        <v>249311.59566344012</v>
      </c>
      <c r="L38" s="54">
        <f>K38*(1+L9)</f>
        <v>293364.71301943017</v>
      </c>
      <c r="N38" s="35"/>
    </row>
    <row r="39" spans="1:22" x14ac:dyDescent="0.25">
      <c r="B39" s="10" t="s">
        <v>31</v>
      </c>
      <c r="C39" s="55">
        <v>4150</v>
      </c>
      <c r="D39" s="53">
        <v>6279</v>
      </c>
      <c r="E39" s="53">
        <v>9439</v>
      </c>
      <c r="F39" s="53">
        <v>11618</v>
      </c>
      <c r="G39" s="61">
        <v>16621</v>
      </c>
      <c r="H39" s="56">
        <f>H38-H40</f>
        <v>34789.495224676852</v>
      </c>
      <c r="I39" s="56">
        <f t="shared" ref="I39:L39" si="41">I38-I40</f>
        <v>51373.613885193699</v>
      </c>
      <c r="J39" s="56">
        <f t="shared" si="41"/>
        <v>70726.004451663845</v>
      </c>
      <c r="K39" s="56">
        <f t="shared" si="41"/>
        <v>90295.821345741366</v>
      </c>
      <c r="L39" s="56">
        <f t="shared" si="41"/>
        <v>106251.00547552138</v>
      </c>
    </row>
    <row r="40" spans="1:22" ht="15" x14ac:dyDescent="0.3">
      <c r="B40" s="52" t="s">
        <v>32</v>
      </c>
      <c r="C40" s="71">
        <f>C38-C39</f>
        <v>6768</v>
      </c>
      <c r="D40" s="71">
        <f>D38-D39</f>
        <v>10396</v>
      </c>
      <c r="E40" s="71">
        <f>E38-E39</f>
        <v>17475</v>
      </c>
      <c r="F40" s="71">
        <f t="shared" ref="F40:G40" si="42">F38-F39</f>
        <v>15356</v>
      </c>
      <c r="G40" s="72">
        <f t="shared" si="42"/>
        <v>44301</v>
      </c>
      <c r="H40" s="71">
        <f>H38*H10</f>
        <v>61266.163138287724</v>
      </c>
      <c r="I40" s="71">
        <f>I38*I10</f>
        <v>90471.683735759536</v>
      </c>
      <c r="J40" s="71">
        <f>J38*J10</f>
        <v>124552.27932658658</v>
      </c>
      <c r="K40" s="71">
        <f>K38*K10</f>
        <v>159015.77431769876</v>
      </c>
      <c r="L40" s="71">
        <f>L38*L10</f>
        <v>187113.70754390879</v>
      </c>
    </row>
    <row r="41" spans="1:22" ht="6.75" customHeight="1" x14ac:dyDescent="0.25">
      <c r="C41" s="56"/>
      <c r="D41" s="56"/>
      <c r="E41" s="56"/>
      <c r="F41" s="56"/>
      <c r="G41" s="66"/>
      <c r="H41" s="56"/>
      <c r="I41" s="56"/>
      <c r="J41" s="56"/>
      <c r="K41" s="56"/>
      <c r="L41" s="56"/>
    </row>
    <row r="42" spans="1:22" x14ac:dyDescent="0.25">
      <c r="B42" s="10" t="s">
        <v>55</v>
      </c>
      <c r="C42" s="55">
        <v>2829</v>
      </c>
      <c r="D42" s="55">
        <v>3924</v>
      </c>
      <c r="E42" s="55">
        <v>5268</v>
      </c>
      <c r="F42" s="55">
        <v>7339</v>
      </c>
      <c r="G42" s="64">
        <v>8675</v>
      </c>
      <c r="H42" s="56">
        <f>H38*H11</f>
        <v>21221.428677653301</v>
      </c>
      <c r="I42" s="56">
        <f>I38*I11</f>
        <v>31337.663163466157</v>
      </c>
      <c r="J42" s="56">
        <f>J38*J11</f>
        <v>43142.530509087483</v>
      </c>
      <c r="K42" s="56">
        <f>K38*K11</f>
        <v>55080.026893278213</v>
      </c>
      <c r="L42" s="56">
        <f>L38*L11</f>
        <v>64812.614269503872</v>
      </c>
    </row>
    <row r="43" spans="1:22" x14ac:dyDescent="0.25">
      <c r="B43" s="10" t="s">
        <v>56</v>
      </c>
      <c r="C43" s="55">
        <v>1093</v>
      </c>
      <c r="D43" s="55">
        <v>1940</v>
      </c>
      <c r="E43" s="55">
        <v>2166</v>
      </c>
      <c r="F43" s="55">
        <f>2440+1353</f>
        <v>3793</v>
      </c>
      <c r="G43" s="64">
        <v>2654</v>
      </c>
      <c r="H43" s="56">
        <f>H44-H42</f>
        <v>9580.6172379336058</v>
      </c>
      <c r="I43" s="56">
        <f t="shared" ref="I43:L43" si="43">I44-I42</f>
        <v>14147.68819106957</v>
      </c>
      <c r="J43" s="56">
        <f t="shared" si="43"/>
        <v>19477.108622695559</v>
      </c>
      <c r="K43" s="56">
        <f t="shared" si="43"/>
        <v>24866.405704120662</v>
      </c>
      <c r="L43" s="56">
        <f t="shared" si="43"/>
        <v>29260.275495015128</v>
      </c>
    </row>
    <row r="44" spans="1:22" ht="15" x14ac:dyDescent="0.3">
      <c r="B44" s="52" t="s">
        <v>57</v>
      </c>
      <c r="C44" s="71">
        <f>C40-SUM(C42:C43)</f>
        <v>2846</v>
      </c>
      <c r="D44" s="71">
        <f t="shared" ref="D44:G44" si="44">D40-SUM(D42:D43)</f>
        <v>4532</v>
      </c>
      <c r="E44" s="71">
        <f t="shared" si="44"/>
        <v>10041</v>
      </c>
      <c r="F44" s="71">
        <f t="shared" si="44"/>
        <v>4224</v>
      </c>
      <c r="G44" s="72">
        <f t="shared" si="44"/>
        <v>32972</v>
      </c>
      <c r="H44" s="71">
        <f>H38*H12</f>
        <v>30802.045915586907</v>
      </c>
      <c r="I44" s="71">
        <f>I38*I12</f>
        <v>45485.351354535727</v>
      </c>
      <c r="J44" s="71">
        <f>J38*J12</f>
        <v>62619.639131783042</v>
      </c>
      <c r="K44" s="71">
        <f>K38*K12</f>
        <v>79946.432597398874</v>
      </c>
      <c r="L44" s="71">
        <f>L38*L12</f>
        <v>94072.889764519001</v>
      </c>
    </row>
    <row r="45" spans="1:22" ht="6.75" customHeight="1" x14ac:dyDescent="0.25">
      <c r="C45" s="56"/>
      <c r="D45" s="56"/>
      <c r="E45" s="56"/>
      <c r="F45" s="56"/>
      <c r="G45" s="66"/>
      <c r="H45" s="56"/>
      <c r="I45" s="56"/>
      <c r="J45" s="56"/>
      <c r="K45" s="56"/>
      <c r="L45" s="56"/>
    </row>
    <row r="46" spans="1:22" x14ac:dyDescent="0.25">
      <c r="B46" s="10" t="s">
        <v>60</v>
      </c>
      <c r="C46" s="53">
        <v>126</v>
      </c>
      <c r="D46" s="53">
        <v>-127</v>
      </c>
      <c r="E46" s="53">
        <v>-207</v>
      </c>
      <c r="F46" s="53">
        <v>5</v>
      </c>
      <c r="G46" s="61">
        <v>609</v>
      </c>
      <c r="H46" s="56">
        <f ca="1">-H151</f>
        <v>-122.576125</v>
      </c>
      <c r="I46" s="56">
        <f t="shared" ref="I46:L46" ca="1" si="45">-I151</f>
        <v>0</v>
      </c>
      <c r="J46" s="56">
        <f t="shared" ca="1" si="45"/>
        <v>0</v>
      </c>
      <c r="K46" s="56">
        <f t="shared" ca="1" si="45"/>
        <v>0</v>
      </c>
      <c r="L46" s="56">
        <f t="shared" ca="1" si="45"/>
        <v>0</v>
      </c>
    </row>
    <row r="47" spans="1:22" x14ac:dyDescent="0.25">
      <c r="B47" s="10" t="s">
        <v>61</v>
      </c>
      <c r="C47" s="53">
        <v>-2</v>
      </c>
      <c r="D47" s="53">
        <v>4</v>
      </c>
      <c r="E47" s="53">
        <v>107</v>
      </c>
      <c r="F47" s="53">
        <v>-48</v>
      </c>
      <c r="G47" s="61">
        <v>237</v>
      </c>
      <c r="H47" s="56">
        <f>H38*H13</f>
        <v>118.01496767477933</v>
      </c>
      <c r="I47" s="56">
        <f>I38*I13</f>
        <v>174.27258840183546</v>
      </c>
      <c r="J47" s="56">
        <f>J38*J13</f>
        <v>239.92090357232073</v>
      </c>
      <c r="K47" s="56">
        <f>K38*K13</f>
        <v>306.30678509318034</v>
      </c>
      <c r="L47" s="56">
        <f>L38*L13</f>
        <v>360.43089718968264</v>
      </c>
    </row>
    <row r="48" spans="1:22" ht="15" x14ac:dyDescent="0.3">
      <c r="B48" s="52" t="s">
        <v>59</v>
      </c>
      <c r="C48" s="57">
        <f>SUM(C44:C47)</f>
        <v>2970</v>
      </c>
      <c r="D48" s="57">
        <f t="shared" ref="D48:G48" si="46">SUM(D44:D47)</f>
        <v>4409</v>
      </c>
      <c r="E48" s="57">
        <f t="shared" si="46"/>
        <v>9941</v>
      </c>
      <c r="F48" s="57">
        <f t="shared" si="46"/>
        <v>4181</v>
      </c>
      <c r="G48" s="62">
        <f t="shared" si="46"/>
        <v>33818</v>
      </c>
      <c r="H48" s="57">
        <f ca="1">SUM(H44:H47)</f>
        <v>30797.484758261686</v>
      </c>
      <c r="I48" s="57">
        <f t="shared" ref="I48:L48" ca="1" si="47">SUM(I44:I47)</f>
        <v>45659.623942937564</v>
      </c>
      <c r="J48" s="57">
        <f t="shared" ca="1" si="47"/>
        <v>62859.56003535536</v>
      </c>
      <c r="K48" s="57">
        <f t="shared" ca="1" si="47"/>
        <v>80252.739382492058</v>
      </c>
      <c r="L48" s="57">
        <f t="shared" ca="1" si="47"/>
        <v>94433.320661708683</v>
      </c>
    </row>
    <row r="49" spans="1:22" ht="6.75" customHeight="1" x14ac:dyDescent="0.25">
      <c r="C49" s="56"/>
      <c r="D49" s="56"/>
      <c r="E49" s="56"/>
      <c r="F49" s="56"/>
      <c r="G49" s="66"/>
      <c r="H49" s="56"/>
      <c r="I49" s="56"/>
      <c r="J49" s="56"/>
      <c r="K49" s="56"/>
      <c r="L49" s="56"/>
    </row>
    <row r="50" spans="1:22" x14ac:dyDescent="0.25">
      <c r="B50" s="10" t="s">
        <v>62</v>
      </c>
      <c r="C50" s="53">
        <v>174</v>
      </c>
      <c r="D50" s="53">
        <v>77</v>
      </c>
      <c r="E50" s="53">
        <v>189</v>
      </c>
      <c r="F50" s="53">
        <v>-187</v>
      </c>
      <c r="G50" s="61">
        <v>4058</v>
      </c>
      <c r="H50" s="56">
        <f ca="1">H14*H48</f>
        <v>4311.6478661566362</v>
      </c>
      <c r="I50" s="56">
        <f ca="1">I14*I48</f>
        <v>6392.3473520112593</v>
      </c>
      <c r="J50" s="56">
        <f ca="1">J14*J48</f>
        <v>8800.3384049497508</v>
      </c>
      <c r="K50" s="56">
        <f ca="1">K14*K48</f>
        <v>11235.38351354889</v>
      </c>
      <c r="L50" s="56">
        <f ca="1">L14*L48</f>
        <v>13220.664892639217</v>
      </c>
    </row>
    <row r="51" spans="1:22" ht="15" x14ac:dyDescent="0.3">
      <c r="B51" s="52" t="s">
        <v>86</v>
      </c>
      <c r="C51" s="71">
        <f>C48-C50</f>
        <v>2796</v>
      </c>
      <c r="D51" s="71">
        <f t="shared" ref="D51:G51" si="48">D48-D50</f>
        <v>4332</v>
      </c>
      <c r="E51" s="71">
        <f t="shared" si="48"/>
        <v>9752</v>
      </c>
      <c r="F51" s="71">
        <f t="shared" si="48"/>
        <v>4368</v>
      </c>
      <c r="G51" s="72">
        <f t="shared" si="48"/>
        <v>29760</v>
      </c>
      <c r="H51" s="71">
        <f ca="1">H48-H50</f>
        <v>26485.83689210505</v>
      </c>
      <c r="I51" s="71">
        <f t="shared" ref="I51:L51" ca="1" si="49">I48-I50</f>
        <v>39267.276590926303</v>
      </c>
      <c r="J51" s="71">
        <f t="shared" ca="1" si="49"/>
        <v>54059.221630405606</v>
      </c>
      <c r="K51" s="71">
        <f t="shared" ca="1" si="49"/>
        <v>69017.355868943167</v>
      </c>
      <c r="L51" s="71">
        <f t="shared" ca="1" si="49"/>
        <v>81212.655769069461</v>
      </c>
    </row>
    <row r="52" spans="1:22" ht="6.75" customHeight="1" x14ac:dyDescent="0.25"/>
    <row r="53" spans="1:22" ht="15" x14ac:dyDescent="0.3">
      <c r="A53" s="10" t="s">
        <v>7</v>
      </c>
      <c r="B53" s="58" t="s">
        <v>15</v>
      </c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</row>
    <row r="54" spans="1:22" ht="6.75" customHeight="1" x14ac:dyDescent="0.25"/>
    <row r="55" spans="1:22" ht="15.75" thickBot="1" x14ac:dyDescent="0.35">
      <c r="B55" s="59" t="s">
        <v>10</v>
      </c>
      <c r="C55" s="26">
        <f>$C$8</f>
        <v>2020</v>
      </c>
      <c r="D55" s="26">
        <f>$D$8</f>
        <v>2021</v>
      </c>
      <c r="E55" s="26">
        <f>$E$8</f>
        <v>2022</v>
      </c>
      <c r="F55" s="26">
        <f>$F$8</f>
        <v>2023</v>
      </c>
      <c r="G55" s="60">
        <f>$G$8</f>
        <v>2024</v>
      </c>
      <c r="H55" s="27">
        <f>$H$8</f>
        <v>2025</v>
      </c>
      <c r="I55" s="27">
        <f>$I$8</f>
        <v>2026</v>
      </c>
      <c r="J55" s="27">
        <f>$J$8</f>
        <v>2027</v>
      </c>
      <c r="K55" s="27">
        <f>$K$8</f>
        <v>2028</v>
      </c>
      <c r="L55" s="27">
        <f>$L$8</f>
        <v>2029</v>
      </c>
    </row>
    <row r="56" spans="1:22" ht="6.75" customHeight="1" x14ac:dyDescent="0.25">
      <c r="G56" s="65"/>
    </row>
    <row r="57" spans="1:22" x14ac:dyDescent="0.25">
      <c r="B57" s="10" t="s">
        <v>64</v>
      </c>
      <c r="C57" s="53">
        <v>10897</v>
      </c>
      <c r="D57" s="53">
        <v>11561</v>
      </c>
      <c r="E57" s="53">
        <v>21208</v>
      </c>
      <c r="F57" s="53">
        <v>13296</v>
      </c>
      <c r="G57" s="61">
        <v>25984</v>
      </c>
      <c r="H57" s="56">
        <f ca="1">H108</f>
        <v>33914.240362841563</v>
      </c>
      <c r="I57" s="56">
        <f t="shared" ref="I57:L57" ca="1" si="50">I108</f>
        <v>55128.444559161355</v>
      </c>
      <c r="J57" s="56">
        <f t="shared" ca="1" si="50"/>
        <v>83351.107457185062</v>
      </c>
      <c r="K57" s="56">
        <f t="shared" ca="1" si="50"/>
        <v>117913.19578835496</v>
      </c>
      <c r="L57" s="56">
        <f t="shared" ca="1" si="50"/>
        <v>156535.60169255725</v>
      </c>
    </row>
    <row r="58" spans="1:22" x14ac:dyDescent="0.25">
      <c r="B58" s="10" t="s">
        <v>66</v>
      </c>
      <c r="C58" s="53">
        <v>1657</v>
      </c>
      <c r="D58" s="53">
        <v>2429</v>
      </c>
      <c r="E58" s="53">
        <v>4650</v>
      </c>
      <c r="F58" s="53">
        <v>3827</v>
      </c>
      <c r="G58" s="61">
        <v>9999</v>
      </c>
      <c r="H58" s="56">
        <f>H115</f>
        <v>14911.924170877923</v>
      </c>
      <c r="I58" s="56">
        <f t="shared" ref="I58:L58" si="51">I115</f>
        <v>22020.423972595465</v>
      </c>
      <c r="J58" s="56">
        <f t="shared" si="51"/>
        <v>30315.496343973817</v>
      </c>
      <c r="K58" s="56">
        <f t="shared" si="51"/>
        <v>38703.764804835344</v>
      </c>
      <c r="L58" s="56">
        <f t="shared" si="51"/>
        <v>45542.682539603506</v>
      </c>
    </row>
    <row r="59" spans="1:22" x14ac:dyDescent="0.25">
      <c r="B59" s="10" t="s">
        <v>65</v>
      </c>
      <c r="C59" s="53">
        <v>979</v>
      </c>
      <c r="D59" s="53">
        <v>1826</v>
      </c>
      <c r="E59" s="53">
        <v>2605</v>
      </c>
      <c r="F59" s="53">
        <v>5159</v>
      </c>
      <c r="G59" s="61">
        <v>5282</v>
      </c>
      <c r="H59" s="56">
        <f>H116</f>
        <v>10885.911076788847</v>
      </c>
      <c r="I59" s="56">
        <f t="shared" ref="I59:L59" si="52">I116</f>
        <v>16075.214337999871</v>
      </c>
      <c r="J59" s="56">
        <f t="shared" si="52"/>
        <v>22130.732001287215</v>
      </c>
      <c r="K59" s="56">
        <f t="shared" si="52"/>
        <v>28254.284100050005</v>
      </c>
      <c r="L59" s="56">
        <f t="shared" si="52"/>
        <v>33246.788720449862</v>
      </c>
    </row>
    <row r="60" spans="1:22" x14ac:dyDescent="0.25">
      <c r="B60" s="10" t="s">
        <v>67</v>
      </c>
      <c r="C60" s="53">
        <v>157</v>
      </c>
      <c r="D60" s="53">
        <v>239</v>
      </c>
      <c r="E60" s="53">
        <v>366</v>
      </c>
      <c r="F60" s="53">
        <v>791</v>
      </c>
      <c r="G60" s="61">
        <v>3080</v>
      </c>
      <c r="H60" s="56">
        <f>H38*H21</f>
        <v>2347.4583410619698</v>
      </c>
      <c r="I60" s="56">
        <f>I38*I21</f>
        <v>3466.489457419691</v>
      </c>
      <c r="J60" s="56">
        <f>J38*J21</f>
        <v>4772.312676795571</v>
      </c>
      <c r="K60" s="56">
        <f>K38*K21</f>
        <v>6092.8069698105519</v>
      </c>
      <c r="L60" s="56">
        <f>L38*L21</f>
        <v>7169.4000570843436</v>
      </c>
    </row>
    <row r="61" spans="1:22" ht="15" x14ac:dyDescent="0.3">
      <c r="B61" s="52" t="s">
        <v>68</v>
      </c>
      <c r="C61" s="71">
        <f>SUM(C57:C60)</f>
        <v>13690</v>
      </c>
      <c r="D61" s="71">
        <f t="shared" ref="D61:G61" si="53">SUM(D57:D60)</f>
        <v>16055</v>
      </c>
      <c r="E61" s="71">
        <f t="shared" si="53"/>
        <v>28829</v>
      </c>
      <c r="F61" s="71">
        <f t="shared" si="53"/>
        <v>23073</v>
      </c>
      <c r="G61" s="72">
        <f t="shared" si="53"/>
        <v>44345</v>
      </c>
      <c r="H61" s="71">
        <f ca="1">SUM(H57:H60)</f>
        <v>62059.533951570302</v>
      </c>
      <c r="I61" s="71">
        <f t="shared" ref="I61:L61" ca="1" si="54">SUM(I57:I60)</f>
        <v>96690.572327176385</v>
      </c>
      <c r="J61" s="71">
        <f t="shared" ca="1" si="54"/>
        <v>140569.64847924167</v>
      </c>
      <c r="K61" s="71">
        <f t="shared" ca="1" si="54"/>
        <v>190964.05166305086</v>
      </c>
      <c r="L61" s="71">
        <f t="shared" ca="1" si="54"/>
        <v>242494.47300969495</v>
      </c>
    </row>
    <row r="62" spans="1:22" x14ac:dyDescent="0.25">
      <c r="C62" s="56"/>
      <c r="D62" s="56"/>
      <c r="E62" s="56"/>
      <c r="F62" s="56"/>
      <c r="G62" s="66"/>
      <c r="H62" s="56"/>
      <c r="I62" s="56"/>
      <c r="J62" s="56"/>
      <c r="K62" s="56"/>
      <c r="L62" s="56"/>
    </row>
    <row r="63" spans="1:22" x14ac:dyDescent="0.25">
      <c r="B63" s="10" t="s">
        <v>84</v>
      </c>
      <c r="C63" s="53">
        <v>1674</v>
      </c>
      <c r="D63" s="53">
        <v>2149</v>
      </c>
      <c r="E63" s="53">
        <v>2778</v>
      </c>
      <c r="F63" s="53">
        <v>3807</v>
      </c>
      <c r="G63" s="61">
        <v>3914</v>
      </c>
      <c r="H63" s="56">
        <f>H133</f>
        <v>3726.4596805791516</v>
      </c>
      <c r="I63" s="56">
        <f t="shared" ref="I63:L63" si="55">I133</f>
        <v>3383.0788464183797</v>
      </c>
      <c r="J63" s="56">
        <f t="shared" si="55"/>
        <v>2818.8785897472753</v>
      </c>
      <c r="K63" s="56">
        <f t="shared" si="55"/>
        <v>1981.7873128314259</v>
      </c>
      <c r="L63" s="56">
        <f t="shared" si="55"/>
        <v>859.37101687305403</v>
      </c>
    </row>
    <row r="64" spans="1:22" x14ac:dyDescent="0.25">
      <c r="B64" s="10" t="s">
        <v>70</v>
      </c>
      <c r="C64" s="53">
        <v>618</v>
      </c>
      <c r="D64" s="53">
        <v>707</v>
      </c>
      <c r="E64" s="53">
        <v>829</v>
      </c>
      <c r="F64" s="53">
        <v>1038</v>
      </c>
      <c r="G64" s="61">
        <v>1346</v>
      </c>
      <c r="H64" s="56">
        <f>H38*H27</f>
        <v>3657.4097335142228</v>
      </c>
      <c r="I64" s="56">
        <f t="shared" ref="I64:L64" si="56">I38*I27</f>
        <v>5400.8934092332511</v>
      </c>
      <c r="J64" s="56">
        <f t="shared" si="56"/>
        <v>7435.4047227050087</v>
      </c>
      <c r="K64" s="56">
        <f t="shared" si="56"/>
        <v>9492.7740041288107</v>
      </c>
      <c r="L64" s="56">
        <f t="shared" si="56"/>
        <v>11170.1379715967</v>
      </c>
    </row>
    <row r="65" spans="2:19" x14ac:dyDescent="0.25">
      <c r="B65" s="10" t="s">
        <v>71</v>
      </c>
      <c r="C65" s="53">
        <v>667</v>
      </c>
      <c r="D65" s="53">
        <v>6930</v>
      </c>
      <c r="E65" s="53">
        <v>6688</v>
      </c>
      <c r="F65" s="53">
        <v>6048</v>
      </c>
      <c r="G65" s="61">
        <v>5542</v>
      </c>
      <c r="H65" s="56">
        <f>$G$65</f>
        <v>5542</v>
      </c>
      <c r="I65" s="56">
        <f t="shared" ref="I65:L65" si="57">$G$65</f>
        <v>5542</v>
      </c>
      <c r="J65" s="56">
        <f t="shared" si="57"/>
        <v>5542</v>
      </c>
      <c r="K65" s="56">
        <f t="shared" si="57"/>
        <v>5542</v>
      </c>
      <c r="L65" s="56">
        <f t="shared" si="57"/>
        <v>5542</v>
      </c>
    </row>
    <row r="66" spans="2:19" x14ac:dyDescent="0.25">
      <c r="B66" s="10" t="s">
        <v>120</v>
      </c>
      <c r="C66" s="53">
        <v>77</v>
      </c>
      <c r="D66" s="53">
        <v>144</v>
      </c>
      <c r="E66" s="53">
        <v>266</v>
      </c>
      <c r="F66" s="53">
        <v>299</v>
      </c>
      <c r="G66" s="61">
        <v>1546</v>
      </c>
      <c r="H66" s="56">
        <f>H24*H38</f>
        <v>1191.7250429177373</v>
      </c>
      <c r="I66" s="56">
        <f t="shared" ref="I66:L66" si="58">I24*I38</f>
        <v>1759.8192160242938</v>
      </c>
      <c r="J66" s="56">
        <f t="shared" si="58"/>
        <v>2422.74140933133</v>
      </c>
      <c r="K66" s="56">
        <f t="shared" si="58"/>
        <v>3093.1116095130265</v>
      </c>
      <c r="L66" s="56">
        <f t="shared" si="58"/>
        <v>3639.6614335051659</v>
      </c>
      <c r="O66" s="53"/>
      <c r="P66" s="53"/>
      <c r="Q66" s="53"/>
      <c r="R66" s="53"/>
      <c r="S66" s="53"/>
    </row>
    <row r="67" spans="2:19" x14ac:dyDescent="0.25">
      <c r="B67" s="10" t="s">
        <v>72</v>
      </c>
      <c r="C67" s="53">
        <v>589</v>
      </c>
      <c r="D67" s="53">
        <v>2806</v>
      </c>
      <c r="E67" s="53">
        <v>4797</v>
      </c>
      <c r="F67" s="53">
        <v>6917</v>
      </c>
      <c r="G67" s="61">
        <v>9035</v>
      </c>
      <c r="H67" s="56">
        <f>H25*H38</f>
        <v>15468.694808985092</v>
      </c>
      <c r="I67" s="56">
        <f t="shared" ref="I67:L67" si="59">I25*I38</f>
        <v>22842.606634344513</v>
      </c>
      <c r="J67" s="56">
        <f t="shared" si="59"/>
        <v>31447.394417659914</v>
      </c>
      <c r="K67" s="56">
        <f t="shared" si="59"/>
        <v>40148.85797863394</v>
      </c>
      <c r="L67" s="56">
        <f t="shared" si="59"/>
        <v>47243.122276831215</v>
      </c>
      <c r="O67" s="53"/>
      <c r="P67" s="53"/>
      <c r="Q67" s="53"/>
      <c r="R67" s="53"/>
      <c r="S67" s="53"/>
    </row>
    <row r="68" spans="2:19" ht="15" x14ac:dyDescent="0.3">
      <c r="B68" s="52" t="s">
        <v>73</v>
      </c>
      <c r="C68" s="71">
        <f>SUM(C61:C67)</f>
        <v>17315</v>
      </c>
      <c r="D68" s="71">
        <f t="shared" ref="D68:H68" si="60">SUM(D61:D67)</f>
        <v>28791</v>
      </c>
      <c r="E68" s="71">
        <f t="shared" si="60"/>
        <v>44187</v>
      </c>
      <c r="F68" s="71">
        <f t="shared" si="60"/>
        <v>41182</v>
      </c>
      <c r="G68" s="72">
        <f t="shared" si="60"/>
        <v>65728</v>
      </c>
      <c r="H68" s="71">
        <f t="shared" ca="1" si="60"/>
        <v>91645.823217566503</v>
      </c>
      <c r="I68" s="71">
        <f t="shared" ref="I68" ca="1" si="61">SUM(I61:I67)</f>
        <v>135618.97043319681</v>
      </c>
      <c r="J68" s="71">
        <f t="shared" ref="J68" ca="1" si="62">SUM(J61:J67)</f>
        <v>190236.06761868519</v>
      </c>
      <c r="K68" s="71">
        <f t="shared" ref="K68" ca="1" si="63">SUM(K61:K67)</f>
        <v>251222.5825681581</v>
      </c>
      <c r="L68" s="71">
        <f t="shared" ref="L68" ca="1" si="64">SUM(L61:L67)</f>
        <v>310948.7657085011</v>
      </c>
      <c r="O68" s="56"/>
      <c r="P68" s="56"/>
      <c r="Q68" s="56"/>
      <c r="R68" s="56"/>
      <c r="S68" s="56"/>
    </row>
    <row r="69" spans="2:19" x14ac:dyDescent="0.25">
      <c r="C69" s="56"/>
      <c r="D69" s="56"/>
      <c r="E69" s="56"/>
      <c r="F69" s="56"/>
      <c r="G69" s="66"/>
      <c r="H69" s="56"/>
      <c r="I69" s="56"/>
      <c r="J69" s="56"/>
      <c r="K69" s="56"/>
      <c r="L69" s="56"/>
    </row>
    <row r="70" spans="2:19" x14ac:dyDescent="0.25">
      <c r="B70" s="10" t="s">
        <v>74</v>
      </c>
      <c r="C70" s="53">
        <v>687</v>
      </c>
      <c r="D70" s="53">
        <v>1149</v>
      </c>
      <c r="E70" s="53">
        <v>1783</v>
      </c>
      <c r="F70" s="53">
        <v>1193</v>
      </c>
      <c r="G70" s="61">
        <v>2699</v>
      </c>
      <c r="H70" s="56">
        <f>H120</f>
        <v>5583.7184539143891</v>
      </c>
      <c r="I70" s="56">
        <f t="shared" ref="I70:L70" si="65">I120</f>
        <v>8245.4716299406446</v>
      </c>
      <c r="J70" s="56">
        <f t="shared" si="65"/>
        <v>11351.532802587677</v>
      </c>
      <c r="K70" s="56">
        <f t="shared" si="65"/>
        <v>14492.490928754372</v>
      </c>
      <c r="L70" s="56">
        <f t="shared" si="65"/>
        <v>17053.300031781022</v>
      </c>
    </row>
    <row r="71" spans="2:19" x14ac:dyDescent="0.25">
      <c r="B71" s="10" t="s">
        <v>75</v>
      </c>
      <c r="C71" s="53">
        <v>1097</v>
      </c>
      <c r="D71" s="53">
        <v>1777</v>
      </c>
      <c r="E71" s="53">
        <v>2552</v>
      </c>
      <c r="F71" s="53">
        <v>4120</v>
      </c>
      <c r="G71" s="61">
        <v>6682</v>
      </c>
      <c r="H71" s="56">
        <f>H26*H38</f>
        <v>10840.542693506883</v>
      </c>
      <c r="I71" s="56">
        <f t="shared" ref="I71:L71" si="66">I26*I38</f>
        <v>16008.218890372054</v>
      </c>
      <c r="J71" s="56">
        <f t="shared" si="66"/>
        <v>22038.499433460565</v>
      </c>
      <c r="K71" s="56">
        <f t="shared" si="66"/>
        <v>28136.530870084553</v>
      </c>
      <c r="L71" s="56">
        <f t="shared" si="66"/>
        <v>33108.22860885939</v>
      </c>
    </row>
    <row r="72" spans="2:19" ht="15" x14ac:dyDescent="0.3">
      <c r="B72" s="73" t="s">
        <v>76</v>
      </c>
      <c r="C72" s="71">
        <f>SUM(C70:C71)</f>
        <v>1784</v>
      </c>
      <c r="D72" s="71">
        <f t="shared" ref="D72:H72" si="67">SUM(D70:D71)</f>
        <v>2926</v>
      </c>
      <c r="E72" s="71">
        <f t="shared" si="67"/>
        <v>4335</v>
      </c>
      <c r="F72" s="71">
        <f t="shared" si="67"/>
        <v>5313</v>
      </c>
      <c r="G72" s="72">
        <f t="shared" si="67"/>
        <v>9381</v>
      </c>
      <c r="H72" s="71">
        <f t="shared" si="67"/>
        <v>16424.261147421272</v>
      </c>
      <c r="I72" s="71">
        <f t="shared" ref="I72" si="68">SUM(I70:I71)</f>
        <v>24253.690520312699</v>
      </c>
      <c r="J72" s="71">
        <f t="shared" ref="J72" si="69">SUM(J70:J71)</f>
        <v>33390.032236048239</v>
      </c>
      <c r="K72" s="71">
        <f t="shared" ref="K72" si="70">SUM(K70:K71)</f>
        <v>42629.021798838927</v>
      </c>
      <c r="L72" s="71">
        <f t="shared" ref="L72" si="71">SUM(L70:L71)</f>
        <v>50161.528640640412</v>
      </c>
    </row>
    <row r="73" spans="2:19" x14ac:dyDescent="0.25">
      <c r="C73" s="56"/>
      <c r="D73" s="56"/>
      <c r="E73" s="56"/>
      <c r="F73" s="56"/>
      <c r="G73" s="66"/>
      <c r="H73" s="56"/>
      <c r="I73" s="56"/>
      <c r="J73" s="56"/>
      <c r="K73" s="56"/>
      <c r="L73" s="56"/>
    </row>
    <row r="74" spans="2:19" x14ac:dyDescent="0.25">
      <c r="B74" s="10" t="s">
        <v>77</v>
      </c>
      <c r="C74" s="53">
        <v>1991</v>
      </c>
      <c r="D74" s="53">
        <v>6963</v>
      </c>
      <c r="E74" s="53">
        <v>10946</v>
      </c>
      <c r="F74" s="53">
        <v>10953</v>
      </c>
      <c r="G74" s="61">
        <v>9709</v>
      </c>
      <c r="H74" s="56">
        <v>0</v>
      </c>
      <c r="I74" s="56">
        <v>0</v>
      </c>
      <c r="J74" s="56">
        <v>0</v>
      </c>
      <c r="K74" s="56">
        <v>0</v>
      </c>
      <c r="L74" s="56">
        <v>0</v>
      </c>
    </row>
    <row r="75" spans="2:19" x14ac:dyDescent="0.25">
      <c r="B75" s="10" t="s">
        <v>78</v>
      </c>
      <c r="C75" s="53">
        <v>561</v>
      </c>
      <c r="D75" s="53">
        <v>634</v>
      </c>
      <c r="E75" s="53">
        <v>741</v>
      </c>
      <c r="F75" s="53">
        <v>902</v>
      </c>
      <c r="G75" s="61">
        <v>1119</v>
      </c>
      <c r="H75" s="56">
        <f>H28*H38</f>
        <v>3241.7540495339376</v>
      </c>
      <c r="I75" s="56">
        <f t="shared" ref="I75:L75" si="72">I28*I38</f>
        <v>4787.095063494603</v>
      </c>
      <c r="J75" s="56">
        <f t="shared" si="72"/>
        <v>6590.3891349336545</v>
      </c>
      <c r="K75" s="56">
        <f t="shared" si="72"/>
        <v>8413.9434220914009</v>
      </c>
      <c r="L75" s="56">
        <f t="shared" si="72"/>
        <v>9900.6790711641734</v>
      </c>
    </row>
    <row r="76" spans="2:19" x14ac:dyDescent="0.25">
      <c r="B76" s="10" t="s">
        <v>79</v>
      </c>
      <c r="C76" s="53">
        <v>775</v>
      </c>
      <c r="D76" s="53">
        <v>1375</v>
      </c>
      <c r="E76" s="53">
        <v>1553</v>
      </c>
      <c r="F76" s="53">
        <v>1913</v>
      </c>
      <c r="G76" s="61">
        <v>2541</v>
      </c>
      <c r="H76" s="56">
        <f>H29*H38</f>
        <v>6220.0648360307532</v>
      </c>
      <c r="I76" s="56">
        <f t="shared" ref="I76:L76" si="73">I29*I38</f>
        <v>9185.1637157544519</v>
      </c>
      <c r="J76" s="56">
        <f t="shared" si="73"/>
        <v>12645.205986510115</v>
      </c>
      <c r="K76" s="56">
        <f t="shared" si="73"/>
        <v>16144.122229022018</v>
      </c>
      <c r="L76" s="56">
        <f t="shared" si="73"/>
        <v>18996.772982277162</v>
      </c>
    </row>
    <row r="77" spans="2:19" ht="15" x14ac:dyDescent="0.3">
      <c r="B77" s="52" t="s">
        <v>80</v>
      </c>
      <c r="C77" s="71">
        <f>SUM(C72:C76)</f>
        <v>5111</v>
      </c>
      <c r="D77" s="71">
        <f t="shared" ref="D77:G77" si="74">SUM(D72:D76)</f>
        <v>11898</v>
      </c>
      <c r="E77" s="71">
        <f t="shared" si="74"/>
        <v>17575</v>
      </c>
      <c r="F77" s="71">
        <f t="shared" si="74"/>
        <v>19081</v>
      </c>
      <c r="G77" s="72">
        <f t="shared" si="74"/>
        <v>22750</v>
      </c>
      <c r="H77" s="71">
        <f>SUM(H72:H76)-H83</f>
        <v>38044.91973679162</v>
      </c>
      <c r="I77" s="71">
        <f t="shared" ref="I77:L77" si="75">SUM(I72:I76)-I83</f>
        <v>66268.801000299398</v>
      </c>
      <c r="J77" s="71">
        <f t="shared" si="75"/>
        <v>99203.899011474525</v>
      </c>
      <c r="K77" s="71">
        <f t="shared" si="75"/>
        <v>132509.02662624637</v>
      </c>
      <c r="L77" s="71">
        <f t="shared" si="75"/>
        <v>159662.54811475446</v>
      </c>
    </row>
    <row r="78" spans="2:19" x14ac:dyDescent="0.25">
      <c r="G78" s="63"/>
    </row>
    <row r="79" spans="2:19" x14ac:dyDescent="0.25">
      <c r="B79" s="10" t="s">
        <v>81</v>
      </c>
      <c r="C79" s="53">
        <v>12204</v>
      </c>
      <c r="D79" s="53">
        <v>16893</v>
      </c>
      <c r="E79" s="53">
        <v>26612</v>
      </c>
      <c r="F79" s="53">
        <v>22101</v>
      </c>
      <c r="G79" s="61">
        <v>42978</v>
      </c>
      <c r="H79" s="56">
        <f ca="1">G79+H51+H101+H102</f>
        <v>53600.903480774898</v>
      </c>
      <c r="I79" s="56">
        <f t="shared" ref="I79:L79" ca="1" si="76">H79+I51+I101+I102</f>
        <v>69350.169432897455</v>
      </c>
      <c r="J79" s="56">
        <f t="shared" ca="1" si="76"/>
        <v>91032.168607210711</v>
      </c>
      <c r="K79" s="56">
        <f t="shared" ca="1" si="76"/>
        <v>118713.55594191182</v>
      </c>
      <c r="L79" s="56">
        <f t="shared" ca="1" si="76"/>
        <v>151286.21759374658</v>
      </c>
    </row>
    <row r="80" spans="2:19" ht="15" x14ac:dyDescent="0.3">
      <c r="B80" s="52" t="s">
        <v>82</v>
      </c>
      <c r="C80" s="71">
        <f>SUM(C77:C79)</f>
        <v>17315</v>
      </c>
      <c r="D80" s="71">
        <f t="shared" ref="D80:H80" si="77">SUM(D77:D79)</f>
        <v>28791</v>
      </c>
      <c r="E80" s="71">
        <f t="shared" si="77"/>
        <v>44187</v>
      </c>
      <c r="F80" s="71">
        <f t="shared" si="77"/>
        <v>41182</v>
      </c>
      <c r="G80" s="72">
        <f t="shared" si="77"/>
        <v>65728</v>
      </c>
      <c r="H80" s="71">
        <f t="shared" ca="1" si="77"/>
        <v>91645.823217566518</v>
      </c>
      <c r="I80" s="71">
        <f t="shared" ref="I80" ca="1" si="78">SUM(I77:I79)</f>
        <v>135618.97043319687</v>
      </c>
      <c r="J80" s="71">
        <f t="shared" ref="J80" ca="1" si="79">SUM(J77:J79)</f>
        <v>190236.06761868525</v>
      </c>
      <c r="K80" s="71">
        <f t="shared" ref="K80" ca="1" si="80">SUM(K77:K79)</f>
        <v>251222.58256815819</v>
      </c>
      <c r="L80" s="71">
        <f t="shared" ref="L80" ca="1" si="81">SUM(L77:L79)</f>
        <v>310948.76570850104</v>
      </c>
    </row>
    <row r="82" spans="1:22" ht="15" x14ac:dyDescent="0.3">
      <c r="B82" s="75" t="s">
        <v>83</v>
      </c>
      <c r="C82" s="106">
        <f>C80-C68</f>
        <v>0</v>
      </c>
      <c r="D82" s="106">
        <f t="shared" ref="D82:M82" si="82">D80-D68</f>
        <v>0</v>
      </c>
      <c r="E82" s="106">
        <f t="shared" si="82"/>
        <v>0</v>
      </c>
      <c r="F82" s="106">
        <f t="shared" si="82"/>
        <v>0</v>
      </c>
      <c r="G82" s="106">
        <f t="shared" si="82"/>
        <v>0</v>
      </c>
      <c r="H82" s="106">
        <f ca="1">H80-H68</f>
        <v>0</v>
      </c>
      <c r="I82" s="106">
        <f ca="1">I80-I68</f>
        <v>0</v>
      </c>
      <c r="J82" s="106">
        <f ca="1">J80-J68</f>
        <v>0</v>
      </c>
      <c r="K82" s="106">
        <f ca="1">K80-K68</f>
        <v>0</v>
      </c>
      <c r="L82" s="106">
        <f ca="1">L80-L68</f>
        <v>0</v>
      </c>
      <c r="M82" s="74">
        <f t="shared" si="82"/>
        <v>0</v>
      </c>
    </row>
    <row r="83" spans="1:22" x14ac:dyDescent="0.25">
      <c r="B83" s="10" t="s">
        <v>125</v>
      </c>
      <c r="C83" s="115">
        <v>0</v>
      </c>
      <c r="D83" s="115">
        <v>0</v>
      </c>
      <c r="E83" s="115">
        <v>0</v>
      </c>
      <c r="F83" s="115">
        <v>0</v>
      </c>
      <c r="G83" s="115">
        <v>0</v>
      </c>
      <c r="H83" s="115">
        <v>-12158.839703805657</v>
      </c>
      <c r="I83" s="115">
        <v>-28042.851700737636</v>
      </c>
      <c r="J83" s="115">
        <v>-46578.27165398252</v>
      </c>
      <c r="K83" s="115">
        <v>-65321.939176294021</v>
      </c>
      <c r="L83" s="115">
        <v>-80603.567420672713</v>
      </c>
    </row>
    <row r="84" spans="1:22" x14ac:dyDescent="0.25">
      <c r="C84" s="115"/>
      <c r="D84" s="115"/>
      <c r="E84" s="115"/>
      <c r="F84" s="115"/>
      <c r="G84" s="115"/>
      <c r="H84" s="115"/>
      <c r="I84" s="115"/>
      <c r="J84" s="115"/>
      <c r="K84" s="115"/>
      <c r="L84" s="115"/>
    </row>
    <row r="85" spans="1:22" ht="15" x14ac:dyDescent="0.3">
      <c r="A85" s="21" t="s">
        <v>7</v>
      </c>
      <c r="B85" s="58" t="s">
        <v>85</v>
      </c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</row>
    <row r="86" spans="1:22" x14ac:dyDescent="0.25">
      <c r="A86" s="21"/>
    </row>
    <row r="87" spans="1:22" ht="15.75" thickBot="1" x14ac:dyDescent="0.35">
      <c r="A87" s="21"/>
      <c r="B87" s="59" t="s">
        <v>10</v>
      </c>
      <c r="C87" s="26">
        <f>$C$8</f>
        <v>2020</v>
      </c>
      <c r="D87" s="26">
        <f>$D$8</f>
        <v>2021</v>
      </c>
      <c r="E87" s="26">
        <f>$E$8</f>
        <v>2022</v>
      </c>
      <c r="F87" s="26">
        <f>$F$8</f>
        <v>2023</v>
      </c>
      <c r="G87" s="60">
        <f>$G$8</f>
        <v>2024</v>
      </c>
      <c r="H87" s="27">
        <f>$H$8</f>
        <v>2025</v>
      </c>
      <c r="I87" s="27">
        <f>$I$8</f>
        <v>2026</v>
      </c>
      <c r="J87" s="27">
        <f>$J$8</f>
        <v>2027</v>
      </c>
      <c r="K87" s="27">
        <f>$K$8</f>
        <v>2028</v>
      </c>
      <c r="L87" s="27">
        <f>$L$8</f>
        <v>2029</v>
      </c>
    </row>
    <row r="88" spans="1:22" x14ac:dyDescent="0.25">
      <c r="A88" s="21"/>
      <c r="B88" s="10" t="s">
        <v>86</v>
      </c>
      <c r="C88" s="89"/>
      <c r="D88" s="89"/>
      <c r="E88" s="89"/>
      <c r="F88" s="89"/>
      <c r="G88" s="90"/>
      <c r="H88" s="56">
        <f ca="1">H51</f>
        <v>26485.83689210505</v>
      </c>
      <c r="I88" s="56">
        <f t="shared" ref="I88:L88" ca="1" si="83">I51</f>
        <v>39267.276590926303</v>
      </c>
      <c r="J88" s="56">
        <f t="shared" ca="1" si="83"/>
        <v>54059.221630405606</v>
      </c>
      <c r="K88" s="56">
        <f t="shared" ca="1" si="83"/>
        <v>69017.355868943167</v>
      </c>
      <c r="L88" s="56">
        <f t="shared" ca="1" si="83"/>
        <v>81212.655769069461</v>
      </c>
    </row>
    <row r="89" spans="1:22" x14ac:dyDescent="0.25">
      <c r="A89" s="21"/>
      <c r="B89" s="10" t="s">
        <v>87</v>
      </c>
      <c r="C89" s="53">
        <v>381</v>
      </c>
      <c r="D89" s="53">
        <v>1098</v>
      </c>
      <c r="E89" s="53">
        <v>1174</v>
      </c>
      <c r="F89" s="53">
        <v>1544</v>
      </c>
      <c r="G89" s="91">
        <v>1508</v>
      </c>
      <c r="H89" s="56">
        <f>-H132</f>
        <v>4686.7798271079337</v>
      </c>
      <c r="I89" s="56">
        <f t="shared" ref="I89:L89" si="84">-I132</f>
        <v>6987.4034551320538</v>
      </c>
      <c r="J89" s="56">
        <f t="shared" si="84"/>
        <v>9711.0197605098383</v>
      </c>
      <c r="K89" s="56">
        <f t="shared" si="84"/>
        <v>12514.826873655542</v>
      </c>
      <c r="L89" s="56">
        <f t="shared" si="84"/>
        <v>14863.596456222775</v>
      </c>
    </row>
    <row r="90" spans="1:22" x14ac:dyDescent="0.25">
      <c r="A90" s="21"/>
      <c r="B90" s="10" t="s">
        <v>88</v>
      </c>
      <c r="C90" s="92"/>
      <c r="D90" s="92"/>
      <c r="E90" s="92"/>
      <c r="F90" s="92"/>
      <c r="G90" s="93"/>
      <c r="H90" s="56">
        <f>G64-H64</f>
        <v>-2311.4097335142228</v>
      </c>
      <c r="I90" s="56">
        <f t="shared" ref="I90:L90" si="85">H64-I64</f>
        <v>-1743.4836757190283</v>
      </c>
      <c r="J90" s="56">
        <f t="shared" si="85"/>
        <v>-2034.5113134717576</v>
      </c>
      <c r="K90" s="56">
        <f t="shared" si="85"/>
        <v>-2057.369281423802</v>
      </c>
      <c r="L90" s="56">
        <f t="shared" si="85"/>
        <v>-1677.3639674678889</v>
      </c>
    </row>
    <row r="91" spans="1:22" x14ac:dyDescent="0.25">
      <c r="A91" s="21"/>
      <c r="B91" s="10" t="s">
        <v>89</v>
      </c>
      <c r="C91" s="92"/>
      <c r="D91" s="92"/>
      <c r="E91" s="92"/>
      <c r="F91" s="92"/>
      <c r="G91" s="93"/>
      <c r="H91" s="56">
        <f>H75-G75</f>
        <v>2122.7540495339376</v>
      </c>
      <c r="I91" s="56">
        <f t="shared" ref="I91:L91" si="86">I75-H75</f>
        <v>1545.3410139606654</v>
      </c>
      <c r="J91" s="56">
        <f t="shared" si="86"/>
        <v>1803.2940714390515</v>
      </c>
      <c r="K91" s="56">
        <f t="shared" si="86"/>
        <v>1823.5542871577463</v>
      </c>
      <c r="L91" s="56">
        <f t="shared" si="86"/>
        <v>1486.7356490727725</v>
      </c>
    </row>
    <row r="92" spans="1:22" x14ac:dyDescent="0.25">
      <c r="A92" s="21"/>
      <c r="B92" s="80" t="s">
        <v>90</v>
      </c>
      <c r="C92" s="94"/>
      <c r="D92" s="94"/>
      <c r="E92" s="94"/>
      <c r="F92" s="94"/>
      <c r="G92" s="95"/>
      <c r="H92" s="96">
        <f>-H125</f>
        <v>-2741.0324413074704</v>
      </c>
      <c r="I92" s="96">
        <f t="shared" ref="I92:L92" si="87">-I125</f>
        <v>-5587.4048063948539</v>
      </c>
      <c r="J92" s="96">
        <f t="shared" si="87"/>
        <v>-6520.0715383060342</v>
      </c>
      <c r="K92" s="96">
        <f t="shared" si="87"/>
        <v>-6593.3252898486171</v>
      </c>
      <c r="L92" s="96">
        <f t="shared" si="87"/>
        <v>-5375.508600640329</v>
      </c>
    </row>
    <row r="93" spans="1:22" ht="15" x14ac:dyDescent="0.3">
      <c r="A93" s="30"/>
      <c r="B93" s="18" t="s">
        <v>91</v>
      </c>
      <c r="C93" s="97"/>
      <c r="D93" s="97"/>
      <c r="E93" s="97"/>
      <c r="F93" s="97"/>
      <c r="G93" s="98"/>
      <c r="H93" s="99">
        <f ca="1">SUM(H88:H92)</f>
        <v>28242.92859392523</v>
      </c>
      <c r="I93" s="99">
        <f t="shared" ref="I93:L93" ca="1" si="88">SUM(I88:I92)</f>
        <v>40469.13257790514</v>
      </c>
      <c r="J93" s="99">
        <f t="shared" ca="1" si="88"/>
        <v>57018.9526105767</v>
      </c>
      <c r="K93" s="99">
        <f t="shared" ca="1" si="88"/>
        <v>74705.042458484037</v>
      </c>
      <c r="L93" s="99">
        <f t="shared" ca="1" si="88"/>
        <v>90510.11530625679</v>
      </c>
      <c r="M93" s="18"/>
      <c r="N93" s="18"/>
      <c r="O93" s="18"/>
      <c r="P93" s="18"/>
      <c r="Q93" s="18"/>
      <c r="R93" s="18"/>
      <c r="S93" s="18"/>
      <c r="T93" s="18"/>
    </row>
    <row r="94" spans="1:22" x14ac:dyDescent="0.25">
      <c r="A94" s="21"/>
      <c r="C94" s="56"/>
      <c r="D94" s="56"/>
      <c r="E94" s="56"/>
      <c r="F94" s="56"/>
      <c r="G94" s="100"/>
      <c r="H94" s="56"/>
      <c r="I94" s="56"/>
      <c r="J94" s="56"/>
      <c r="K94" s="56"/>
      <c r="L94" s="56"/>
    </row>
    <row r="95" spans="1:22" x14ac:dyDescent="0.25">
      <c r="A95" s="21"/>
      <c r="B95" s="10" t="s">
        <v>92</v>
      </c>
      <c r="C95" s="53">
        <v>-489</v>
      </c>
      <c r="D95" s="53">
        <v>-1128</v>
      </c>
      <c r="E95" s="53">
        <v>-976</v>
      </c>
      <c r="F95" s="53">
        <v>-1833</v>
      </c>
      <c r="G95" s="91">
        <v>-1069</v>
      </c>
      <c r="H95" s="56">
        <f>-H131</f>
        <v>-4499.2395076870862</v>
      </c>
      <c r="I95" s="56">
        <f t="shared" ref="I95:L95" si="89">-I131</f>
        <v>-6644.022620971281</v>
      </c>
      <c r="J95" s="56">
        <f t="shared" si="89"/>
        <v>-9146.819503838733</v>
      </c>
      <c r="K95" s="56">
        <f t="shared" si="89"/>
        <v>-11677.735596739692</v>
      </c>
      <c r="L95" s="56">
        <f t="shared" si="89"/>
        <v>-13741.180160264403</v>
      </c>
    </row>
    <row r="96" spans="1:22" x14ac:dyDescent="0.25">
      <c r="A96" s="21"/>
      <c r="B96" s="10" t="s">
        <v>93</v>
      </c>
      <c r="C96" s="89"/>
      <c r="D96" s="89"/>
      <c r="E96" s="89"/>
      <c r="F96" s="89"/>
      <c r="G96" s="90"/>
      <c r="H96" s="56">
        <f>H66-G66</f>
        <v>-354.27495708226274</v>
      </c>
      <c r="I96" s="56">
        <f t="shared" ref="I96:L96" si="90">I66-H66</f>
        <v>568.09417310655658</v>
      </c>
      <c r="J96" s="56">
        <f t="shared" si="90"/>
        <v>662.9221933070362</v>
      </c>
      <c r="K96" s="56">
        <f t="shared" si="90"/>
        <v>670.37020018169642</v>
      </c>
      <c r="L96" s="56">
        <f t="shared" si="90"/>
        <v>546.54982399213941</v>
      </c>
    </row>
    <row r="97" spans="1:22" x14ac:dyDescent="0.25">
      <c r="A97" s="21"/>
      <c r="B97" s="10" t="s">
        <v>94</v>
      </c>
      <c r="C97" s="89"/>
      <c r="D97" s="89"/>
      <c r="E97" s="89"/>
      <c r="F97" s="89"/>
      <c r="G97" s="90"/>
      <c r="H97" s="56">
        <f>H67-G67</f>
        <v>6433.6948089850921</v>
      </c>
      <c r="I97" s="56">
        <f t="shared" ref="I97:L97" si="91">I67-H67</f>
        <v>7373.9118253594206</v>
      </c>
      <c r="J97" s="56">
        <f t="shared" si="91"/>
        <v>8604.7877833154016</v>
      </c>
      <c r="K97" s="56">
        <f t="shared" si="91"/>
        <v>8701.4635609740253</v>
      </c>
      <c r="L97" s="56">
        <f t="shared" si="91"/>
        <v>7094.2642981972749</v>
      </c>
    </row>
    <row r="98" spans="1:22" x14ac:dyDescent="0.25">
      <c r="A98" s="21"/>
      <c r="B98" s="80" t="s">
        <v>95</v>
      </c>
      <c r="C98" s="94"/>
      <c r="D98" s="94"/>
      <c r="E98" s="94"/>
      <c r="F98" s="94"/>
      <c r="G98" s="95"/>
      <c r="H98" s="96">
        <f>H76-G76</f>
        <v>3679.0648360307532</v>
      </c>
      <c r="I98" s="96">
        <f t="shared" ref="I98:L98" si="92">I76-H76</f>
        <v>2965.0988797236987</v>
      </c>
      <c r="J98" s="96">
        <f t="shared" si="92"/>
        <v>3460.0422707556627</v>
      </c>
      <c r="K98" s="96">
        <f t="shared" si="92"/>
        <v>3498.916242511903</v>
      </c>
      <c r="L98" s="96">
        <f t="shared" si="92"/>
        <v>2852.6507532551441</v>
      </c>
    </row>
    <row r="99" spans="1:22" ht="15" x14ac:dyDescent="0.3">
      <c r="A99" s="30"/>
      <c r="B99" s="18" t="s">
        <v>96</v>
      </c>
      <c r="C99" s="97"/>
      <c r="D99" s="97"/>
      <c r="E99" s="97"/>
      <c r="F99" s="97"/>
      <c r="G99" s="98"/>
      <c r="H99" s="99">
        <f>SUM(H95:H98)</f>
        <v>5259.2451802464966</v>
      </c>
      <c r="I99" s="99">
        <f t="shared" ref="I99:L99" si="93">SUM(I95:I98)</f>
        <v>4263.0822572183952</v>
      </c>
      <c r="J99" s="99">
        <f t="shared" si="93"/>
        <v>3580.9327435393679</v>
      </c>
      <c r="K99" s="99">
        <f t="shared" si="93"/>
        <v>1193.0144069279322</v>
      </c>
      <c r="L99" s="99">
        <f t="shared" si="93"/>
        <v>-3247.7152848198439</v>
      </c>
      <c r="M99" s="76">
        <f t="shared" ref="M99" si="94">SUM(M95:M98)</f>
        <v>0</v>
      </c>
      <c r="N99" s="18"/>
      <c r="O99" s="18"/>
      <c r="P99" s="18"/>
      <c r="Q99" s="18"/>
      <c r="R99" s="18"/>
      <c r="S99" s="18"/>
      <c r="T99" s="18"/>
    </row>
    <row r="100" spans="1:22" x14ac:dyDescent="0.25">
      <c r="A100" s="21"/>
      <c r="C100" s="56"/>
      <c r="D100" s="56"/>
      <c r="E100" s="56"/>
      <c r="F100" s="56"/>
      <c r="G100" s="100"/>
      <c r="H100" s="56"/>
      <c r="I100" s="56"/>
      <c r="J100" s="56"/>
      <c r="K100" s="56"/>
      <c r="L100" s="56"/>
    </row>
    <row r="101" spans="1:22" x14ac:dyDescent="0.25">
      <c r="A101" s="21"/>
      <c r="B101" s="10" t="s">
        <v>97</v>
      </c>
      <c r="C101" s="53">
        <v>0</v>
      </c>
      <c r="D101" s="53">
        <v>0</v>
      </c>
      <c r="E101" s="53">
        <v>0</v>
      </c>
      <c r="F101" s="53">
        <v>-10039</v>
      </c>
      <c r="G101" s="91">
        <v>-9533</v>
      </c>
      <c r="H101" s="56">
        <f ca="1">-H31*H51</f>
        <v>-13871.348755502942</v>
      </c>
      <c r="I101" s="56">
        <f t="shared" ref="I101:L101" ca="1" si="95">-I31*I51</f>
        <v>-20565.334238462281</v>
      </c>
      <c r="J101" s="56">
        <f t="shared" ca="1" si="95"/>
        <v>-28312.275717061013</v>
      </c>
      <c r="K101" s="56">
        <f t="shared" ca="1" si="95"/>
        <v>-36146.254971695511</v>
      </c>
      <c r="L101" s="56">
        <f t="shared" ca="1" si="95"/>
        <v>-42533.263197326734</v>
      </c>
    </row>
    <row r="102" spans="1:22" x14ac:dyDescent="0.25">
      <c r="A102" s="21"/>
      <c r="B102" s="10" t="s">
        <v>98</v>
      </c>
      <c r="C102" s="53">
        <v>-390</v>
      </c>
      <c r="D102" s="53">
        <v>-395</v>
      </c>
      <c r="E102" s="53">
        <v>-399</v>
      </c>
      <c r="F102" s="53">
        <v>-398</v>
      </c>
      <c r="G102" s="91">
        <v>-395</v>
      </c>
      <c r="H102" s="56">
        <f ca="1">-H30*H51</f>
        <v>-1991.5846558272133</v>
      </c>
      <c r="I102" s="56">
        <f t="shared" ref="I102:L102" ca="1" si="96">-I30*I51</f>
        <v>-2952.6764003414664</v>
      </c>
      <c r="J102" s="56">
        <f t="shared" ca="1" si="96"/>
        <v>-4064.9467390313403</v>
      </c>
      <c r="K102" s="56">
        <f t="shared" ca="1" si="96"/>
        <v>-5189.7135625465553</v>
      </c>
      <c r="L102" s="56">
        <f t="shared" ca="1" si="96"/>
        <v>-6106.7309199079336</v>
      </c>
    </row>
    <row r="103" spans="1:22" x14ac:dyDescent="0.25">
      <c r="A103" s="21"/>
      <c r="B103" s="10" t="s">
        <v>99</v>
      </c>
      <c r="C103" s="94"/>
      <c r="D103" s="94"/>
      <c r="E103" s="94"/>
      <c r="F103" s="94"/>
      <c r="G103" s="95"/>
      <c r="H103" s="56">
        <f>H74-G74</f>
        <v>-9709</v>
      </c>
      <c r="I103" s="56">
        <f t="shared" ref="I103:L103" si="97">I74-H74</f>
        <v>0</v>
      </c>
      <c r="J103" s="56">
        <f t="shared" si="97"/>
        <v>0</v>
      </c>
      <c r="K103" s="56">
        <f t="shared" si="97"/>
        <v>0</v>
      </c>
      <c r="L103" s="56">
        <f t="shared" si="97"/>
        <v>0</v>
      </c>
    </row>
    <row r="104" spans="1:22" ht="15" x14ac:dyDescent="0.3">
      <c r="A104" s="21"/>
      <c r="B104" s="52" t="s">
        <v>100</v>
      </c>
      <c r="C104" s="104"/>
      <c r="D104" s="104"/>
      <c r="E104" s="104"/>
      <c r="F104" s="104"/>
      <c r="G104" s="105"/>
      <c r="H104" s="71">
        <f ca="1">SUM(H101:H103)</f>
        <v>-25571.933411330156</v>
      </c>
      <c r="I104" s="71">
        <f t="shared" ref="I104:L104" ca="1" si="98">SUM(I101:I103)</f>
        <v>-23518.010638803746</v>
      </c>
      <c r="J104" s="71">
        <f t="shared" ca="1" si="98"/>
        <v>-32377.222456092353</v>
      </c>
      <c r="K104" s="71">
        <f t="shared" ca="1" si="98"/>
        <v>-41335.968534242063</v>
      </c>
      <c r="L104" s="71">
        <f t="shared" ca="1" si="98"/>
        <v>-48639.994117234666</v>
      </c>
      <c r="M104" s="71">
        <f t="shared" ref="M104" si="99">SUM(M102:M103)</f>
        <v>0</v>
      </c>
    </row>
    <row r="105" spans="1:22" x14ac:dyDescent="0.25">
      <c r="A105" s="21"/>
      <c r="C105" s="56"/>
      <c r="D105" s="56"/>
      <c r="E105" s="56"/>
      <c r="F105" s="56"/>
      <c r="G105" s="100"/>
      <c r="H105" s="56"/>
      <c r="I105" s="56"/>
      <c r="J105" s="56"/>
      <c r="K105" s="56"/>
      <c r="L105" s="56"/>
    </row>
    <row r="106" spans="1:22" x14ac:dyDescent="0.25">
      <c r="A106" s="21"/>
      <c r="B106" s="10" t="s">
        <v>101</v>
      </c>
      <c r="C106" s="89"/>
      <c r="D106" s="89"/>
      <c r="E106" s="89"/>
      <c r="F106" s="89"/>
      <c r="G106" s="90"/>
      <c r="H106" s="56">
        <f>G108</f>
        <v>25984</v>
      </c>
      <c r="I106" s="56">
        <f t="shared" ref="I106:L106" ca="1" si="100">H108</f>
        <v>33914.240362841563</v>
      </c>
      <c r="J106" s="56">
        <f t="shared" ca="1" si="100"/>
        <v>55128.444559161355</v>
      </c>
      <c r="K106" s="56">
        <f t="shared" ca="1" si="100"/>
        <v>83351.107457185062</v>
      </c>
      <c r="L106" s="56">
        <f t="shared" ca="1" si="100"/>
        <v>117913.19578835496</v>
      </c>
    </row>
    <row r="107" spans="1:22" x14ac:dyDescent="0.25">
      <c r="A107" s="21"/>
      <c r="B107" s="10" t="s">
        <v>102</v>
      </c>
      <c r="C107" s="94"/>
      <c r="D107" s="94"/>
      <c r="E107" s="94"/>
      <c r="F107" s="94"/>
      <c r="G107" s="95"/>
      <c r="H107" s="96">
        <f ca="1">H93+H99+H104</f>
        <v>7930.2403628415668</v>
      </c>
      <c r="I107" s="96">
        <f t="shared" ref="I107:L107" ca="1" si="101">I93+I99+I104</f>
        <v>21214.204196319792</v>
      </c>
      <c r="J107" s="96">
        <f t="shared" ca="1" si="101"/>
        <v>28222.662898023711</v>
      </c>
      <c r="K107" s="96">
        <f t="shared" ca="1" si="101"/>
        <v>34562.088331169907</v>
      </c>
      <c r="L107" s="96">
        <f t="shared" ca="1" si="101"/>
        <v>38622.405904202278</v>
      </c>
    </row>
    <row r="108" spans="1:22" ht="15" x14ac:dyDescent="0.3">
      <c r="A108" s="21"/>
      <c r="B108" s="52" t="s">
        <v>103</v>
      </c>
      <c r="C108" s="97"/>
      <c r="D108" s="97"/>
      <c r="E108" s="97"/>
      <c r="F108" s="97"/>
      <c r="G108" s="102">
        <f>G57</f>
        <v>25984</v>
      </c>
      <c r="H108" s="99">
        <f ca="1">SUM(H106:H107)</f>
        <v>33914.240362841563</v>
      </c>
      <c r="I108" s="99">
        <f t="shared" ref="I108:L108" ca="1" si="102">SUM(I106:I107)</f>
        <v>55128.444559161355</v>
      </c>
      <c r="J108" s="99">
        <f t="shared" ca="1" si="102"/>
        <v>83351.107457185062</v>
      </c>
      <c r="K108" s="99">
        <f t="shared" ca="1" si="102"/>
        <v>117913.19578835496</v>
      </c>
      <c r="L108" s="99">
        <f t="shared" ca="1" si="102"/>
        <v>156535.60169255725</v>
      </c>
    </row>
    <row r="109" spans="1:22" x14ac:dyDescent="0.25">
      <c r="A109" s="21"/>
    </row>
    <row r="110" spans="1:22" ht="15" x14ac:dyDescent="0.3">
      <c r="A110" s="21" t="s">
        <v>7</v>
      </c>
      <c r="B110" s="37" t="s">
        <v>104</v>
      </c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</row>
    <row r="111" spans="1:22" x14ac:dyDescent="0.25">
      <c r="A111" s="21"/>
    </row>
    <row r="112" spans="1:22" ht="15" x14ac:dyDescent="0.3">
      <c r="A112" s="21"/>
      <c r="B112" s="58" t="s">
        <v>105</v>
      </c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</row>
    <row r="113" spans="1:22" ht="15" x14ac:dyDescent="0.3">
      <c r="A113" s="21"/>
      <c r="B113" s="18"/>
    </row>
    <row r="114" spans="1:22" ht="15.75" thickBot="1" x14ac:dyDescent="0.35">
      <c r="A114" s="21"/>
      <c r="B114" s="59" t="s">
        <v>10</v>
      </c>
      <c r="C114" s="26">
        <f>$C$8</f>
        <v>2020</v>
      </c>
      <c r="D114" s="26">
        <f>$D$8</f>
        <v>2021</v>
      </c>
      <c r="E114" s="26">
        <f>$E$8</f>
        <v>2022</v>
      </c>
      <c r="F114" s="26">
        <f>$F$8</f>
        <v>2023</v>
      </c>
      <c r="G114" s="60">
        <f>$G$8</f>
        <v>2024</v>
      </c>
      <c r="H114" s="27">
        <f>$H$8</f>
        <v>2025</v>
      </c>
      <c r="I114" s="27">
        <f>$I$8</f>
        <v>2026</v>
      </c>
      <c r="J114" s="27">
        <f>$J$8</f>
        <v>2027</v>
      </c>
      <c r="K114" s="27">
        <f>$K$8</f>
        <v>2028</v>
      </c>
      <c r="L114" s="27">
        <f>$L$8</f>
        <v>2029</v>
      </c>
    </row>
    <row r="115" spans="1:22" x14ac:dyDescent="0.25">
      <c r="A115" s="21"/>
      <c r="B115" s="10" t="s">
        <v>66</v>
      </c>
      <c r="C115" s="56">
        <f>C58</f>
        <v>1657</v>
      </c>
      <c r="D115" s="56">
        <f t="shared" ref="D115:G115" si="103">D58</f>
        <v>2429</v>
      </c>
      <c r="E115" s="56">
        <f t="shared" si="103"/>
        <v>4650</v>
      </c>
      <c r="F115" s="56">
        <f t="shared" si="103"/>
        <v>3827</v>
      </c>
      <c r="G115" s="100">
        <f t="shared" si="103"/>
        <v>9999</v>
      </c>
      <c r="H115" s="56">
        <f>H20/365*H38</f>
        <v>14911.924170877923</v>
      </c>
      <c r="I115" s="56">
        <f t="shared" ref="I115:L115" si="104">I20/365*I38</f>
        <v>22020.423972595465</v>
      </c>
      <c r="J115" s="56">
        <f t="shared" si="104"/>
        <v>30315.496343973817</v>
      </c>
      <c r="K115" s="56">
        <f t="shared" si="104"/>
        <v>38703.764804835344</v>
      </c>
      <c r="L115" s="56">
        <f t="shared" si="104"/>
        <v>45542.682539603506</v>
      </c>
    </row>
    <row r="116" spans="1:22" x14ac:dyDescent="0.25">
      <c r="A116" s="21"/>
      <c r="B116" s="10" t="s">
        <v>106</v>
      </c>
      <c r="C116" s="56">
        <f>C59</f>
        <v>979</v>
      </c>
      <c r="D116" s="56">
        <f t="shared" ref="D116:G116" si="105">D59</f>
        <v>1826</v>
      </c>
      <c r="E116" s="56">
        <f t="shared" si="105"/>
        <v>2605</v>
      </c>
      <c r="F116" s="56">
        <f t="shared" si="105"/>
        <v>5159</v>
      </c>
      <c r="G116" s="100">
        <f t="shared" si="105"/>
        <v>5282</v>
      </c>
      <c r="H116" s="56">
        <f>H18/365*H39</f>
        <v>10885.911076788847</v>
      </c>
      <c r="I116" s="56">
        <f t="shared" ref="I116:L116" si="106">I18/365*I39</f>
        <v>16075.214337999871</v>
      </c>
      <c r="J116" s="56">
        <f t="shared" si="106"/>
        <v>22130.732001287215</v>
      </c>
      <c r="K116" s="56">
        <f t="shared" si="106"/>
        <v>28254.284100050005</v>
      </c>
      <c r="L116" s="56">
        <f t="shared" si="106"/>
        <v>33246.788720449862</v>
      </c>
    </row>
    <row r="117" spans="1:22" x14ac:dyDescent="0.25">
      <c r="A117" s="21"/>
      <c r="B117" s="80" t="s">
        <v>67</v>
      </c>
      <c r="C117" s="96">
        <f>C60</f>
        <v>157</v>
      </c>
      <c r="D117" s="96">
        <f t="shared" ref="D117:G117" si="107">D60</f>
        <v>239</v>
      </c>
      <c r="E117" s="96">
        <f t="shared" si="107"/>
        <v>366</v>
      </c>
      <c r="F117" s="96">
        <f t="shared" si="107"/>
        <v>791</v>
      </c>
      <c r="G117" s="101">
        <f t="shared" si="107"/>
        <v>3080</v>
      </c>
      <c r="H117" s="96">
        <f t="shared" ref="H117:L117" si="108">H60</f>
        <v>2347.4583410619698</v>
      </c>
      <c r="I117" s="96">
        <f t="shared" si="108"/>
        <v>3466.489457419691</v>
      </c>
      <c r="J117" s="96">
        <f t="shared" si="108"/>
        <v>4772.312676795571</v>
      </c>
      <c r="K117" s="96">
        <f t="shared" si="108"/>
        <v>6092.8069698105519</v>
      </c>
      <c r="L117" s="96">
        <f t="shared" si="108"/>
        <v>7169.4000570843436</v>
      </c>
      <c r="M117" s="82"/>
    </row>
    <row r="118" spans="1:22" ht="15" x14ac:dyDescent="0.3">
      <c r="A118" s="21"/>
      <c r="B118" s="10" t="s">
        <v>107</v>
      </c>
      <c r="C118" s="99">
        <f>SUM(C115:C117)</f>
        <v>2793</v>
      </c>
      <c r="D118" s="99">
        <f t="shared" ref="D118:G118" si="109">SUM(D115:D117)</f>
        <v>4494</v>
      </c>
      <c r="E118" s="99">
        <f t="shared" si="109"/>
        <v>7621</v>
      </c>
      <c r="F118" s="99">
        <f t="shared" si="109"/>
        <v>9777</v>
      </c>
      <c r="G118" s="102">
        <f t="shared" si="109"/>
        <v>18361</v>
      </c>
      <c r="H118" s="99">
        <f t="shared" ref="H118" si="110">SUM(H115:H117)</f>
        <v>28145.293588728742</v>
      </c>
      <c r="I118" s="99">
        <f t="shared" ref="I118" si="111">SUM(I115:I117)</f>
        <v>41562.127768015023</v>
      </c>
      <c r="J118" s="99">
        <f t="shared" ref="J118" si="112">SUM(J115:J117)</f>
        <v>57218.541022056597</v>
      </c>
      <c r="K118" s="99">
        <f t="shared" ref="K118" si="113">SUM(K115:K117)</f>
        <v>73050.855874695902</v>
      </c>
      <c r="L118" s="99">
        <f t="shared" ref="L118" si="114">SUM(L115:L117)</f>
        <v>85958.871317137717</v>
      </c>
      <c r="M118" s="82"/>
    </row>
    <row r="119" spans="1:22" x14ac:dyDescent="0.25">
      <c r="A119" s="21"/>
      <c r="C119" s="56"/>
      <c r="D119" s="56"/>
      <c r="E119" s="56"/>
      <c r="F119" s="56"/>
      <c r="G119" s="100"/>
      <c r="H119" s="56"/>
      <c r="I119" s="56"/>
      <c r="J119" s="56"/>
      <c r="K119" s="56"/>
      <c r="L119" s="56"/>
    </row>
    <row r="120" spans="1:22" x14ac:dyDescent="0.25">
      <c r="A120" s="21"/>
      <c r="B120" s="10" t="s">
        <v>108</v>
      </c>
      <c r="C120" s="56">
        <f>C70</f>
        <v>687</v>
      </c>
      <c r="D120" s="56">
        <f t="shared" ref="D120:G120" si="115">D70</f>
        <v>1149</v>
      </c>
      <c r="E120" s="56">
        <f t="shared" si="115"/>
        <v>1783</v>
      </c>
      <c r="F120" s="56">
        <f t="shared" si="115"/>
        <v>1193</v>
      </c>
      <c r="G120" s="100">
        <f t="shared" si="115"/>
        <v>2699</v>
      </c>
      <c r="H120" s="56">
        <f>H19/365*H39</f>
        <v>5583.7184539143891</v>
      </c>
      <c r="I120" s="56">
        <f t="shared" ref="I120:L120" si="116">I19/365*I39</f>
        <v>8245.4716299406446</v>
      </c>
      <c r="J120" s="56">
        <f t="shared" si="116"/>
        <v>11351.532802587677</v>
      </c>
      <c r="K120" s="56">
        <f t="shared" si="116"/>
        <v>14492.490928754372</v>
      </c>
      <c r="L120" s="56">
        <f t="shared" si="116"/>
        <v>17053.300031781022</v>
      </c>
    </row>
    <row r="121" spans="1:22" x14ac:dyDescent="0.25">
      <c r="A121" s="21"/>
      <c r="B121" s="10" t="s">
        <v>109</v>
      </c>
      <c r="C121" s="56">
        <f>C71</f>
        <v>1097</v>
      </c>
      <c r="D121" s="56">
        <f t="shared" ref="D121:G121" si="117">D71</f>
        <v>1777</v>
      </c>
      <c r="E121" s="56">
        <f t="shared" si="117"/>
        <v>2552</v>
      </c>
      <c r="F121" s="56">
        <f t="shared" si="117"/>
        <v>4120</v>
      </c>
      <c r="G121" s="100">
        <f t="shared" si="117"/>
        <v>6682</v>
      </c>
      <c r="H121" s="56">
        <f t="shared" ref="H121:L121" si="118">H71</f>
        <v>10840.542693506883</v>
      </c>
      <c r="I121" s="56">
        <f t="shared" si="118"/>
        <v>16008.218890372054</v>
      </c>
      <c r="J121" s="56">
        <f t="shared" si="118"/>
        <v>22038.499433460565</v>
      </c>
      <c r="K121" s="56">
        <f t="shared" si="118"/>
        <v>28136.530870084553</v>
      </c>
      <c r="L121" s="56">
        <f t="shared" si="118"/>
        <v>33108.22860885939</v>
      </c>
    </row>
    <row r="122" spans="1:22" ht="15" x14ac:dyDescent="0.3">
      <c r="A122" s="21"/>
      <c r="B122" s="83" t="s">
        <v>110</v>
      </c>
      <c r="C122" s="71">
        <f>SUM(C120:C121)</f>
        <v>1784</v>
      </c>
      <c r="D122" s="71">
        <f t="shared" ref="D122:G122" si="119">SUM(D120:D121)</f>
        <v>2926</v>
      </c>
      <c r="E122" s="71">
        <f t="shared" si="119"/>
        <v>4335</v>
      </c>
      <c r="F122" s="71">
        <f t="shared" si="119"/>
        <v>5313</v>
      </c>
      <c r="G122" s="103">
        <f t="shared" si="119"/>
        <v>9381</v>
      </c>
      <c r="H122" s="71">
        <f t="shared" ref="H122" si="120">SUM(H120:H121)</f>
        <v>16424.261147421272</v>
      </c>
      <c r="I122" s="71">
        <f t="shared" ref="I122" si="121">SUM(I120:I121)</f>
        <v>24253.690520312699</v>
      </c>
      <c r="J122" s="71">
        <f t="shared" ref="J122" si="122">SUM(J120:J121)</f>
        <v>33390.032236048239</v>
      </c>
      <c r="K122" s="71">
        <f t="shared" ref="K122" si="123">SUM(K120:K121)</f>
        <v>42629.021798838927</v>
      </c>
      <c r="L122" s="71">
        <f t="shared" ref="L122" si="124">SUM(L120:L121)</f>
        <v>50161.528640640412</v>
      </c>
      <c r="M122" s="81"/>
    </row>
    <row r="123" spans="1:22" x14ac:dyDescent="0.25">
      <c r="A123" s="21"/>
      <c r="C123" s="56"/>
      <c r="D123" s="56"/>
      <c r="E123" s="56"/>
      <c r="F123" s="56"/>
      <c r="G123" s="100"/>
      <c r="H123" s="56"/>
      <c r="I123" s="56"/>
      <c r="J123" s="56"/>
      <c r="K123" s="56"/>
      <c r="L123" s="56"/>
    </row>
    <row r="124" spans="1:22" x14ac:dyDescent="0.25">
      <c r="A124" s="21"/>
      <c r="B124" s="10" t="s">
        <v>111</v>
      </c>
      <c r="C124" s="56">
        <f>C118-C122</f>
        <v>1009</v>
      </c>
      <c r="D124" s="56">
        <f t="shared" ref="D124:G124" si="125">D118-D122</f>
        <v>1568</v>
      </c>
      <c r="E124" s="56">
        <f t="shared" si="125"/>
        <v>3286</v>
      </c>
      <c r="F124" s="56">
        <f t="shared" si="125"/>
        <v>4464</v>
      </c>
      <c r="G124" s="100">
        <f t="shared" si="125"/>
        <v>8980</v>
      </c>
      <c r="H124" s="56">
        <f t="shared" ref="H124:L124" si="126">H118-H122</f>
        <v>11721.03244130747</v>
      </c>
      <c r="I124" s="56">
        <f t="shared" si="126"/>
        <v>17308.437247702324</v>
      </c>
      <c r="J124" s="56">
        <f t="shared" si="126"/>
        <v>23828.508786008359</v>
      </c>
      <c r="K124" s="56">
        <f t="shared" si="126"/>
        <v>30421.834075856976</v>
      </c>
      <c r="L124" s="56">
        <f t="shared" si="126"/>
        <v>35797.342676497305</v>
      </c>
    </row>
    <row r="125" spans="1:22" ht="15" x14ac:dyDescent="0.3">
      <c r="A125" s="30"/>
      <c r="B125" s="52" t="s">
        <v>90</v>
      </c>
      <c r="C125" s="71"/>
      <c r="D125" s="71">
        <f>D124-C124</f>
        <v>559</v>
      </c>
      <c r="E125" s="71">
        <f t="shared" ref="E125:G125" si="127">E124-D124</f>
        <v>1718</v>
      </c>
      <c r="F125" s="71">
        <f t="shared" si="127"/>
        <v>1178</v>
      </c>
      <c r="G125" s="103">
        <f t="shared" si="127"/>
        <v>4516</v>
      </c>
      <c r="H125" s="71">
        <f t="shared" ref="H125" si="128">H124-G124</f>
        <v>2741.0324413074704</v>
      </c>
      <c r="I125" s="71">
        <f t="shared" ref="I125" si="129">I124-H124</f>
        <v>5587.4048063948539</v>
      </c>
      <c r="J125" s="71">
        <f t="shared" ref="J125" si="130">J124-I124</f>
        <v>6520.0715383060342</v>
      </c>
      <c r="K125" s="71">
        <f t="shared" ref="K125" si="131">K124-J124</f>
        <v>6593.3252898486171</v>
      </c>
      <c r="L125" s="71">
        <f t="shared" ref="L125" si="132">L124-K124</f>
        <v>5375.508600640329</v>
      </c>
      <c r="M125" s="18"/>
      <c r="N125" s="18"/>
      <c r="O125" s="18"/>
      <c r="P125" s="18"/>
      <c r="Q125" s="18"/>
      <c r="R125" s="18"/>
      <c r="S125" s="18"/>
      <c r="T125" s="18"/>
      <c r="U125" s="18"/>
      <c r="V125" s="18"/>
    </row>
    <row r="126" spans="1:22" x14ac:dyDescent="0.25">
      <c r="A126" s="21"/>
    </row>
    <row r="127" spans="1:22" ht="15" x14ac:dyDescent="0.3">
      <c r="A127" s="21" t="s">
        <v>7</v>
      </c>
      <c r="B127" s="58" t="s">
        <v>112</v>
      </c>
      <c r="C127" s="17"/>
      <c r="D127" s="17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</row>
    <row r="128" spans="1:22" ht="15" x14ac:dyDescent="0.3">
      <c r="A128" s="21"/>
      <c r="B128" s="18"/>
    </row>
    <row r="129" spans="1:22" ht="15.75" thickBot="1" x14ac:dyDescent="0.35">
      <c r="A129" s="21"/>
      <c r="B129" s="59" t="s">
        <v>10</v>
      </c>
      <c r="C129" s="26">
        <f>$C$8</f>
        <v>2020</v>
      </c>
      <c r="D129" s="26">
        <f>$D$8</f>
        <v>2021</v>
      </c>
      <c r="E129" s="26">
        <f>$E$8</f>
        <v>2022</v>
      </c>
      <c r="F129" s="26">
        <f>$F$8</f>
        <v>2023</v>
      </c>
      <c r="G129" s="60">
        <f>$G$8</f>
        <v>2024</v>
      </c>
      <c r="H129" s="27">
        <f>$H$8</f>
        <v>2025</v>
      </c>
      <c r="I129" s="27">
        <f>$I$8</f>
        <v>2026</v>
      </c>
      <c r="J129" s="27">
        <f>$J$8</f>
        <v>2027</v>
      </c>
      <c r="K129" s="27">
        <f>$K$8</f>
        <v>2028</v>
      </c>
      <c r="L129" s="27">
        <f>$L$8</f>
        <v>2029</v>
      </c>
    </row>
    <row r="130" spans="1:22" x14ac:dyDescent="0.25">
      <c r="A130" s="21"/>
      <c r="B130" s="10" t="s">
        <v>113</v>
      </c>
      <c r="C130" s="89"/>
      <c r="D130" s="89"/>
      <c r="E130" s="89"/>
      <c r="F130" s="89"/>
      <c r="G130" s="90"/>
      <c r="H130" s="56">
        <f>G133</f>
        <v>3914</v>
      </c>
      <c r="I130" s="56">
        <f t="shared" ref="I130:L130" si="133">H133</f>
        <v>3726.4596805791516</v>
      </c>
      <c r="J130" s="56">
        <f t="shared" si="133"/>
        <v>3383.0788464183797</v>
      </c>
      <c r="K130" s="56">
        <f t="shared" si="133"/>
        <v>2818.8785897472753</v>
      </c>
      <c r="L130" s="56">
        <f t="shared" si="133"/>
        <v>1981.7873128314259</v>
      </c>
    </row>
    <row r="131" spans="1:22" x14ac:dyDescent="0.25">
      <c r="A131" s="21"/>
      <c r="B131" s="10" t="s">
        <v>92</v>
      </c>
      <c r="C131" s="89"/>
      <c r="D131" s="89"/>
      <c r="E131" s="89"/>
      <c r="F131" s="89"/>
      <c r="G131" s="90"/>
      <c r="H131" s="107">
        <f>H38*H22</f>
        <v>4499.2395076870862</v>
      </c>
      <c r="I131" s="56">
        <f t="shared" ref="I131:L131" si="134">I38*I22</f>
        <v>6644.022620971281</v>
      </c>
      <c r="J131" s="56">
        <f t="shared" si="134"/>
        <v>9146.819503838733</v>
      </c>
      <c r="K131" s="56">
        <f t="shared" si="134"/>
        <v>11677.735596739692</v>
      </c>
      <c r="L131" s="56">
        <f t="shared" si="134"/>
        <v>13741.180160264403</v>
      </c>
    </row>
    <row r="132" spans="1:22" x14ac:dyDescent="0.25">
      <c r="A132" s="21"/>
      <c r="B132" s="80" t="s">
        <v>87</v>
      </c>
      <c r="C132" s="94"/>
      <c r="D132" s="94"/>
      <c r="E132" s="94"/>
      <c r="F132" s="94"/>
      <c r="G132" s="95"/>
      <c r="H132" s="108">
        <f>-H131*H23</f>
        <v>-4686.7798271079337</v>
      </c>
      <c r="I132" s="96">
        <f t="shared" ref="I132:L132" si="135">-I131*I23</f>
        <v>-6987.4034551320538</v>
      </c>
      <c r="J132" s="96">
        <f t="shared" si="135"/>
        <v>-9711.0197605098383</v>
      </c>
      <c r="K132" s="96">
        <f t="shared" si="135"/>
        <v>-12514.826873655542</v>
      </c>
      <c r="L132" s="96">
        <f t="shared" si="135"/>
        <v>-14863.596456222775</v>
      </c>
    </row>
    <row r="133" spans="1:22" x14ac:dyDescent="0.25">
      <c r="A133" s="21"/>
      <c r="B133" s="10" t="s">
        <v>114</v>
      </c>
      <c r="C133" s="89"/>
      <c r="D133" s="89"/>
      <c r="E133" s="89"/>
      <c r="F133" s="89"/>
      <c r="G133" s="100">
        <f>G63</f>
        <v>3914</v>
      </c>
      <c r="H133" s="56">
        <f>SUM(H130:H132)</f>
        <v>3726.4596805791516</v>
      </c>
      <c r="I133" s="56">
        <f t="shared" ref="I133:L133" si="136">SUM(I130:I132)</f>
        <v>3383.0788464183797</v>
      </c>
      <c r="J133" s="56">
        <f t="shared" si="136"/>
        <v>2818.8785897472753</v>
      </c>
      <c r="K133" s="56">
        <f t="shared" si="136"/>
        <v>1981.7873128314259</v>
      </c>
      <c r="L133" s="56">
        <f t="shared" si="136"/>
        <v>859.37101687305403</v>
      </c>
    </row>
    <row r="134" spans="1:22" x14ac:dyDescent="0.25">
      <c r="A134" s="21"/>
    </row>
    <row r="135" spans="1:22" ht="15" x14ac:dyDescent="0.3">
      <c r="A135" s="21" t="s">
        <v>7</v>
      </c>
      <c r="B135" s="58" t="s">
        <v>115</v>
      </c>
      <c r="C135" s="17"/>
      <c r="D135" s="17"/>
      <c r="E135" s="17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17"/>
    </row>
    <row r="137" spans="1:22" ht="15.75" thickBot="1" x14ac:dyDescent="0.35">
      <c r="A137" s="21"/>
      <c r="B137" s="59" t="s">
        <v>10</v>
      </c>
      <c r="C137" s="26">
        <f>$C$8</f>
        <v>2020</v>
      </c>
      <c r="D137" s="26">
        <f>$D$8</f>
        <v>2021</v>
      </c>
      <c r="E137" s="26">
        <f>$E$8</f>
        <v>2022</v>
      </c>
      <c r="F137" s="26">
        <f>$F$8</f>
        <v>2023</v>
      </c>
      <c r="G137" s="60">
        <f>$G$8</f>
        <v>2024</v>
      </c>
      <c r="H137" s="27">
        <f>$H$8</f>
        <v>2025</v>
      </c>
      <c r="I137" s="27">
        <f>$I$8</f>
        <v>2026</v>
      </c>
      <c r="J137" s="27">
        <f>$J$8</f>
        <v>2027</v>
      </c>
      <c r="K137" s="27">
        <f>$K$8</f>
        <v>2028</v>
      </c>
      <c r="L137" s="27">
        <f>$L$8</f>
        <v>2029</v>
      </c>
    </row>
    <row r="138" spans="1:22" x14ac:dyDescent="0.25">
      <c r="B138" s="10" t="s">
        <v>91</v>
      </c>
      <c r="C138" s="89"/>
      <c r="D138" s="89"/>
      <c r="E138" s="89"/>
      <c r="F138" s="89"/>
      <c r="G138" s="90"/>
      <c r="H138" s="56">
        <f ca="1">H93</f>
        <v>28242.92859392523</v>
      </c>
      <c r="I138" s="56">
        <f t="shared" ref="I138:L138" ca="1" si="137">I93</f>
        <v>40469.13257790514</v>
      </c>
      <c r="J138" s="56">
        <f t="shared" ca="1" si="137"/>
        <v>57018.9526105767</v>
      </c>
      <c r="K138" s="56">
        <f t="shared" ca="1" si="137"/>
        <v>74705.042458484037</v>
      </c>
      <c r="L138" s="56">
        <f t="shared" ca="1" si="137"/>
        <v>90510.11530625679</v>
      </c>
    </row>
    <row r="139" spans="1:22" x14ac:dyDescent="0.25">
      <c r="B139" s="10" t="s">
        <v>96</v>
      </c>
      <c r="C139" s="89"/>
      <c r="D139" s="89"/>
      <c r="E139" s="89"/>
      <c r="F139" s="89"/>
      <c r="G139" s="90"/>
      <c r="H139" s="56">
        <f>H99</f>
        <v>5259.2451802464966</v>
      </c>
      <c r="I139" s="56">
        <f t="shared" ref="I139:L139" si="138">I99</f>
        <v>4263.0822572183952</v>
      </c>
      <c r="J139" s="56">
        <f t="shared" si="138"/>
        <v>3580.9327435393679</v>
      </c>
      <c r="K139" s="56">
        <f t="shared" si="138"/>
        <v>1193.0144069279322</v>
      </c>
      <c r="L139" s="56">
        <f t="shared" si="138"/>
        <v>-3247.7152848198439</v>
      </c>
    </row>
    <row r="140" spans="1:22" x14ac:dyDescent="0.25">
      <c r="B140" s="10" t="s">
        <v>97</v>
      </c>
      <c r="C140" s="89"/>
      <c r="D140" s="89"/>
      <c r="E140" s="89"/>
      <c r="F140" s="89"/>
      <c r="G140" s="90"/>
      <c r="H140" s="56">
        <f ca="1">H101</f>
        <v>-13871.348755502942</v>
      </c>
      <c r="I140" s="56">
        <f t="shared" ref="I140:L140" ca="1" si="139">I101</f>
        <v>-20565.334238462281</v>
      </c>
      <c r="J140" s="56">
        <f t="shared" ca="1" si="139"/>
        <v>-28312.275717061013</v>
      </c>
      <c r="K140" s="56">
        <f t="shared" ca="1" si="139"/>
        <v>-36146.254971695511</v>
      </c>
      <c r="L140" s="56">
        <f t="shared" ca="1" si="139"/>
        <v>-42533.263197326734</v>
      </c>
    </row>
    <row r="141" spans="1:22" x14ac:dyDescent="0.25">
      <c r="B141" s="10" t="s">
        <v>98</v>
      </c>
      <c r="C141" s="89"/>
      <c r="D141" s="89"/>
      <c r="E141" s="89"/>
      <c r="F141" s="89"/>
      <c r="G141" s="90"/>
      <c r="H141" s="56">
        <f ca="1">H102</f>
        <v>-1991.5846558272133</v>
      </c>
      <c r="I141" s="56">
        <f t="shared" ref="I141:L141" ca="1" si="140">I102</f>
        <v>-2952.6764003414664</v>
      </c>
      <c r="J141" s="56">
        <f t="shared" ca="1" si="140"/>
        <v>-4064.9467390313403</v>
      </c>
      <c r="K141" s="56">
        <f t="shared" ca="1" si="140"/>
        <v>-5189.7135625465553</v>
      </c>
      <c r="L141" s="56">
        <f t="shared" ca="1" si="140"/>
        <v>-6106.7309199079336</v>
      </c>
    </row>
    <row r="142" spans="1:22" x14ac:dyDescent="0.25">
      <c r="B142" s="10" t="s">
        <v>101</v>
      </c>
      <c r="C142" s="89"/>
      <c r="D142" s="89"/>
      <c r="E142" s="89"/>
      <c r="F142" s="89"/>
      <c r="G142" s="90"/>
      <c r="H142" s="56">
        <f>H106</f>
        <v>25984</v>
      </c>
      <c r="I142" s="56">
        <f t="shared" ref="I142:L142" ca="1" si="141">I106</f>
        <v>33914.240362841563</v>
      </c>
      <c r="J142" s="56">
        <f t="shared" ca="1" si="141"/>
        <v>55128.444559161355</v>
      </c>
      <c r="K142" s="56">
        <f t="shared" ca="1" si="141"/>
        <v>83351.107457185062</v>
      </c>
      <c r="L142" s="56">
        <f t="shared" ca="1" si="141"/>
        <v>117913.19578835496</v>
      </c>
    </row>
    <row r="143" spans="1:22" x14ac:dyDescent="0.25">
      <c r="B143" s="83" t="s">
        <v>116</v>
      </c>
      <c r="C143" s="111"/>
      <c r="D143" s="111"/>
      <c r="E143" s="111"/>
      <c r="F143" s="111"/>
      <c r="G143" s="112"/>
      <c r="H143" s="57">
        <f ca="1">SUM(H138:H142)</f>
        <v>43623.240362841563</v>
      </c>
      <c r="I143" s="57">
        <f t="shared" ref="I143:L143" ca="1" si="142">SUM(I138:I142)</f>
        <v>55128.444559161355</v>
      </c>
      <c r="J143" s="57">
        <f t="shared" ca="1" si="142"/>
        <v>83351.107457185062</v>
      </c>
      <c r="K143" s="57">
        <f t="shared" ca="1" si="142"/>
        <v>117913.19578835496</v>
      </c>
      <c r="L143" s="57">
        <f t="shared" ca="1" si="142"/>
        <v>156535.60169255725</v>
      </c>
    </row>
    <row r="144" spans="1:22" x14ac:dyDescent="0.25">
      <c r="C144" s="56"/>
      <c r="D144" s="56"/>
      <c r="E144" s="56"/>
      <c r="F144" s="56"/>
      <c r="G144" s="100"/>
      <c r="H144" s="56"/>
      <c r="I144" s="56"/>
      <c r="J144" s="56"/>
      <c r="K144" s="56"/>
      <c r="L144" s="56"/>
      <c r="N144" s="21" t="s">
        <v>117</v>
      </c>
    </row>
    <row r="145" spans="2:14" x14ac:dyDescent="0.25">
      <c r="B145" s="77" t="s">
        <v>124</v>
      </c>
      <c r="C145" s="56"/>
      <c r="D145" s="56"/>
      <c r="E145" s="56"/>
      <c r="F145" s="56"/>
      <c r="G145" s="100"/>
      <c r="H145" s="56"/>
      <c r="I145" s="56"/>
      <c r="J145" s="56"/>
      <c r="K145" s="56"/>
      <c r="L145" s="56"/>
      <c r="N145" s="114">
        <f>AVERAGE(1.55%,3.5%)</f>
        <v>2.5250000000000002E-2</v>
      </c>
    </row>
    <row r="146" spans="2:14" x14ac:dyDescent="0.25">
      <c r="C146" s="56"/>
      <c r="D146" s="56"/>
      <c r="E146" s="56"/>
      <c r="F146" s="56"/>
      <c r="G146" s="100"/>
      <c r="H146" s="56"/>
      <c r="I146" s="56"/>
      <c r="J146" s="56"/>
      <c r="K146" s="56"/>
      <c r="L146" s="56"/>
    </row>
    <row r="147" spans="2:14" x14ac:dyDescent="0.25">
      <c r="B147" s="10" t="s">
        <v>122</v>
      </c>
      <c r="C147" s="89"/>
      <c r="D147" s="89"/>
      <c r="E147" s="89"/>
      <c r="F147" s="89"/>
      <c r="G147" s="90"/>
      <c r="H147" s="56">
        <f>G149</f>
        <v>9709</v>
      </c>
      <c r="I147" s="56">
        <f t="shared" ref="I147:L147" ca="1" si="143">H149</f>
        <v>0</v>
      </c>
      <c r="J147" s="56">
        <f t="shared" ca="1" si="143"/>
        <v>0</v>
      </c>
      <c r="K147" s="56">
        <f t="shared" ca="1" si="143"/>
        <v>0</v>
      </c>
      <c r="L147" s="56">
        <f t="shared" ca="1" si="143"/>
        <v>0</v>
      </c>
    </row>
    <row r="148" spans="2:14" x14ac:dyDescent="0.25">
      <c r="B148" s="10" t="s">
        <v>118</v>
      </c>
      <c r="C148" s="89"/>
      <c r="D148" s="89"/>
      <c r="E148" s="89"/>
      <c r="F148" s="89"/>
      <c r="G148" s="90"/>
      <c r="H148" s="56">
        <f ca="1">IF(H143&gt;0,-MIN(H143,H147),0)</f>
        <v>-9709</v>
      </c>
      <c r="I148" s="56">
        <f t="shared" ref="I148:L148" ca="1" si="144">IF(I143&gt;0,-MIN(I143,I147),0)</f>
        <v>0</v>
      </c>
      <c r="J148" s="56">
        <f t="shared" ca="1" si="144"/>
        <v>0</v>
      </c>
      <c r="K148" s="56">
        <f t="shared" ca="1" si="144"/>
        <v>0</v>
      </c>
      <c r="L148" s="56">
        <f t="shared" ca="1" si="144"/>
        <v>0</v>
      </c>
    </row>
    <row r="149" spans="2:14" x14ac:dyDescent="0.25">
      <c r="B149" s="83" t="s">
        <v>123</v>
      </c>
      <c r="C149" s="111"/>
      <c r="D149" s="111"/>
      <c r="E149" s="111"/>
      <c r="F149" s="111"/>
      <c r="G149" s="113">
        <f>G74</f>
        <v>9709</v>
      </c>
      <c r="H149" s="57">
        <f ca="1">SUM(H147:H148)</f>
        <v>0</v>
      </c>
      <c r="I149" s="57">
        <f t="shared" ref="I149:L149" ca="1" si="145">SUM(I147:I148)</f>
        <v>0</v>
      </c>
      <c r="J149" s="57">
        <f t="shared" ca="1" si="145"/>
        <v>0</v>
      </c>
      <c r="K149" s="57">
        <f t="shared" ca="1" si="145"/>
        <v>0</v>
      </c>
      <c r="L149" s="57">
        <f t="shared" ca="1" si="145"/>
        <v>0</v>
      </c>
    </row>
    <row r="150" spans="2:14" x14ac:dyDescent="0.25">
      <c r="C150" s="56"/>
      <c r="D150" s="56"/>
      <c r="E150" s="56"/>
      <c r="F150" s="56"/>
      <c r="G150" s="100"/>
      <c r="H150" s="56"/>
      <c r="I150" s="56"/>
      <c r="J150" s="56"/>
      <c r="K150" s="56"/>
      <c r="L150" s="56"/>
    </row>
    <row r="151" spans="2:14" x14ac:dyDescent="0.25">
      <c r="B151" s="10" t="s">
        <v>119</v>
      </c>
      <c r="G151" s="78"/>
      <c r="H151" s="79">
        <f ca="1">AVERAGE(H149,H147)*$N$145</f>
        <v>122.576125</v>
      </c>
      <c r="I151" s="79">
        <f ca="1">AVERAGE(I149,I147)*$N$145</f>
        <v>0</v>
      </c>
      <c r="J151" s="79">
        <f ca="1">AVERAGE(J149,J147)*$N$145</f>
        <v>0</v>
      </c>
      <c r="K151" s="79">
        <f ca="1">AVERAGE(K149,K147)*$N$145</f>
        <v>0</v>
      </c>
      <c r="L151" s="79">
        <f ca="1">AVERAGE(L149,L147)*$N$145</f>
        <v>0</v>
      </c>
    </row>
  </sheetData>
  <pageMargins left="0.7" right="0.7" top="0.75" bottom="0.75" header="0.3" footer="0.3"/>
  <pageSetup orientation="portrait" horizontalDpi="1200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98073-C1F7-409F-9692-573272A15BF9}">
  <sheetPr>
    <tabColor theme="0"/>
  </sheetPr>
  <dimension ref="A1:U37"/>
  <sheetViews>
    <sheetView showGridLines="0" zoomScale="85" zoomScaleNormal="85" workbookViewId="0"/>
  </sheetViews>
  <sheetFormatPr defaultRowHeight="13.5" x14ac:dyDescent="0.25"/>
  <cols>
    <col min="1" max="1" width="2" style="10" bestFit="1" customWidth="1"/>
    <col min="2" max="2" width="38.140625" style="10" bestFit="1" customWidth="1"/>
    <col min="3" max="16384" width="9.140625" style="10"/>
  </cols>
  <sheetData>
    <row r="1" spans="1:21" ht="30.75" x14ac:dyDescent="0.45">
      <c r="A1" s="116" t="s">
        <v>46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</row>
    <row r="2" spans="1:21" x14ac:dyDescent="0.25">
      <c r="A2" s="15" t="s">
        <v>47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</row>
    <row r="4" spans="1:21" ht="15" x14ac:dyDescent="0.3">
      <c r="A4" s="10" t="s">
        <v>7</v>
      </c>
      <c r="B4" s="37" t="s">
        <v>10</v>
      </c>
      <c r="C4" s="38">
        <v>2020</v>
      </c>
      <c r="D4" s="38">
        <v>2021</v>
      </c>
      <c r="E4" s="38">
        <v>2022</v>
      </c>
      <c r="F4" s="38">
        <v>2023</v>
      </c>
      <c r="G4" s="38">
        <v>2024</v>
      </c>
    </row>
    <row r="5" spans="1:21" x14ac:dyDescent="0.25">
      <c r="B5" s="10" t="s">
        <v>30</v>
      </c>
      <c r="C5" s="31">
        <v>10918</v>
      </c>
      <c r="D5" s="31">
        <v>16675</v>
      </c>
      <c r="E5" s="31">
        <v>26914</v>
      </c>
      <c r="F5" s="31">
        <v>26947</v>
      </c>
      <c r="G5" s="31">
        <v>60922</v>
      </c>
    </row>
    <row r="6" spans="1:21" x14ac:dyDescent="0.25">
      <c r="B6" s="10" t="s">
        <v>33</v>
      </c>
      <c r="D6" s="32">
        <f>D5/C5-1</f>
        <v>0.52729437625938824</v>
      </c>
      <c r="E6" s="32">
        <f t="shared" ref="E6:G6" si="0">E5/D5-1</f>
        <v>0.61403298350824587</v>
      </c>
      <c r="F6" s="32">
        <f t="shared" si="0"/>
        <v>1.2261276658986908E-3</v>
      </c>
      <c r="G6" s="32">
        <f t="shared" si="0"/>
        <v>1.2608082532378373</v>
      </c>
    </row>
    <row r="7" spans="1:21" x14ac:dyDescent="0.25">
      <c r="B7" s="10" t="s">
        <v>35</v>
      </c>
      <c r="C7" s="33">
        <f>AVERAGE(D6:G6)</f>
        <v>0.60084043516784247</v>
      </c>
    </row>
    <row r="8" spans="1:21" x14ac:dyDescent="0.25">
      <c r="B8" s="10" t="s">
        <v>34</v>
      </c>
      <c r="C8" s="32">
        <f>_xlfn.STDEV.S(D6:G6)</f>
        <v>0.51661652598479191</v>
      </c>
    </row>
    <row r="9" spans="1:21" x14ac:dyDescent="0.25">
      <c r="B9" s="10" t="s">
        <v>36</v>
      </c>
      <c r="D9" s="34">
        <f>ABS((D6-$C$7)/$C$8)</f>
        <v>0.14236102642720969</v>
      </c>
      <c r="E9" s="34">
        <f>ABS((E6-$C$7)/$C$8)</f>
        <v>2.5536442751720564E-2</v>
      </c>
      <c r="F9" s="34">
        <f>ABS((F6-$C$7)/$C$8)</f>
        <v>1.1606564585965164</v>
      </c>
      <c r="G9" s="34">
        <f>ABS((G6-$C$7)/$C$8)</f>
        <v>1.277481042272006</v>
      </c>
    </row>
    <row r="10" spans="1:21" x14ac:dyDescent="0.25">
      <c r="B10" s="10" t="s">
        <v>37</v>
      </c>
      <c r="D10" s="35">
        <f>1/D9</f>
        <v>7.024394422382926</v>
      </c>
      <c r="E10" s="35">
        <f t="shared" ref="E10:G10" si="1">1/E9</f>
        <v>39.15972203813012</v>
      </c>
      <c r="F10" s="35">
        <f t="shared" si="1"/>
        <v>0.86158138576958021</v>
      </c>
      <c r="G10" s="35">
        <f t="shared" si="1"/>
        <v>0.78279048135344176</v>
      </c>
    </row>
    <row r="11" spans="1:21" x14ac:dyDescent="0.25">
      <c r="B11" s="10" t="s">
        <v>53</v>
      </c>
      <c r="D11" s="32">
        <f>D10/SUM($D$10:$G$10)</f>
        <v>0.14686632732910601</v>
      </c>
      <c r="E11" s="32">
        <f>E10/SUM($D$10:$G$10)</f>
        <v>0.81875307807926268</v>
      </c>
      <c r="F11" s="32">
        <f>F10/SUM($D$10:$G$10)</f>
        <v>1.8013979029977926E-2</v>
      </c>
      <c r="G11" s="32">
        <f>G10/SUM($D$10:$G$10)</f>
        <v>1.6366615561653301E-2</v>
      </c>
    </row>
    <row r="12" spans="1:21" ht="14.25" thickBot="1" x14ac:dyDescent="0.3"/>
    <row r="13" spans="1:21" x14ac:dyDescent="0.25">
      <c r="B13" s="39" t="s">
        <v>43</v>
      </c>
      <c r="C13" s="40">
        <v>0.4</v>
      </c>
      <c r="D13" s="41"/>
      <c r="E13" s="41"/>
      <c r="F13" s="41"/>
      <c r="G13" s="41"/>
      <c r="H13" s="41"/>
      <c r="I13" s="41"/>
      <c r="J13" s="42"/>
    </row>
    <row r="14" spans="1:21" ht="14.25" thickBot="1" x14ac:dyDescent="0.3">
      <c r="B14" s="43" t="s">
        <v>44</v>
      </c>
      <c r="C14" s="44"/>
      <c r="D14" s="25"/>
      <c r="E14" s="25"/>
      <c r="F14" s="25"/>
      <c r="G14" s="25"/>
      <c r="H14" s="25"/>
      <c r="I14" s="25"/>
      <c r="J14" s="45"/>
    </row>
    <row r="16" spans="1:21" x14ac:dyDescent="0.25">
      <c r="B16" s="10" t="s">
        <v>45</v>
      </c>
      <c r="C16" s="33">
        <f>E11-C13</f>
        <v>0.41875307807926265</v>
      </c>
    </row>
    <row r="17" spans="1:10" ht="15" x14ac:dyDescent="0.3">
      <c r="A17" s="10" t="s">
        <v>7</v>
      </c>
      <c r="B17" s="37" t="s">
        <v>10</v>
      </c>
      <c r="C17" s="38"/>
      <c r="D17" s="38">
        <v>2021</v>
      </c>
      <c r="E17" s="38">
        <v>2022</v>
      </c>
      <c r="F17" s="38">
        <v>2023</v>
      </c>
      <c r="G17" s="38">
        <v>2024</v>
      </c>
    </row>
    <row r="18" spans="1:10" x14ac:dyDescent="0.25">
      <c r="B18" s="10" t="s">
        <v>39</v>
      </c>
      <c r="D18" s="36">
        <f>$C$16*(D10/SUM($D$10,$F$10,$G$10))</f>
        <v>0.33932011635571457</v>
      </c>
      <c r="E18" s="33">
        <v>0</v>
      </c>
      <c r="F18" s="36">
        <f>$C$16*(F10/SUM($D$10,$F$10,$G$10))</f>
        <v>4.1619516002359608E-2</v>
      </c>
      <c r="G18" s="36">
        <f>$C$16*(G10/SUM($D$10,$F$10,$G$10))</f>
        <v>3.781344572118845E-2</v>
      </c>
    </row>
    <row r="19" spans="1:10" x14ac:dyDescent="0.25">
      <c r="B19" s="10" t="s">
        <v>54</v>
      </c>
      <c r="D19" s="33">
        <f>D18+D11</f>
        <v>0.48618644368482056</v>
      </c>
      <c r="E19" s="33">
        <f>C13</f>
        <v>0.4</v>
      </c>
      <c r="F19" s="33">
        <f>F18+F11</f>
        <v>5.963349503233753E-2</v>
      </c>
      <c r="G19" s="33">
        <f>G18+G11</f>
        <v>5.4180061282841752E-2</v>
      </c>
    </row>
    <row r="21" spans="1:10" x14ac:dyDescent="0.25">
      <c r="B21" s="13" t="s">
        <v>40</v>
      </c>
    </row>
    <row r="22" spans="1:10" ht="14.25" thickBot="1" x14ac:dyDescent="0.3"/>
    <row r="23" spans="1:10" x14ac:dyDescent="0.25">
      <c r="B23" s="39" t="s">
        <v>42</v>
      </c>
      <c r="C23" s="40">
        <v>0.4</v>
      </c>
      <c r="D23" s="41"/>
      <c r="E23" s="41"/>
      <c r="F23" s="41"/>
      <c r="G23" s="41"/>
      <c r="H23" s="41"/>
      <c r="I23" s="41"/>
      <c r="J23" s="42"/>
    </row>
    <row r="24" spans="1:10" ht="14.25" thickBot="1" x14ac:dyDescent="0.3">
      <c r="B24" s="43" t="s">
        <v>44</v>
      </c>
      <c r="C24" s="44"/>
      <c r="D24" s="25"/>
      <c r="E24" s="25"/>
      <c r="F24" s="25"/>
      <c r="G24" s="25"/>
      <c r="H24" s="25"/>
      <c r="I24" s="25"/>
      <c r="J24" s="45"/>
    </row>
    <row r="26" spans="1:10" x14ac:dyDescent="0.25">
      <c r="B26" s="10" t="s">
        <v>38</v>
      </c>
      <c r="C26" s="33">
        <f>D19-C23</f>
        <v>8.6186443684820535E-2</v>
      </c>
    </row>
    <row r="27" spans="1:10" ht="15" x14ac:dyDescent="0.3">
      <c r="A27" s="10" t="s">
        <v>7</v>
      </c>
      <c r="B27" s="37" t="s">
        <v>10</v>
      </c>
      <c r="C27" s="38"/>
      <c r="D27" s="38">
        <v>2021</v>
      </c>
      <c r="E27" s="38">
        <v>2022</v>
      </c>
      <c r="F27" s="38">
        <v>2023</v>
      </c>
      <c r="G27" s="38">
        <v>2024</v>
      </c>
    </row>
    <row r="28" spans="1:10" x14ac:dyDescent="0.25">
      <c r="B28" s="10" t="s">
        <v>39</v>
      </c>
      <c r="D28" s="36">
        <v>0</v>
      </c>
      <c r="E28" s="33">
        <v>0</v>
      </c>
      <c r="F28" s="36">
        <f>$C$26*(F10/SUM($F$10:$G$10))</f>
        <v>4.5158055224113203E-2</v>
      </c>
      <c r="G28" s="36">
        <f>$C$26*(G10/SUM($F$10:$G$10))</f>
        <v>4.1028388460707332E-2</v>
      </c>
    </row>
    <row r="29" spans="1:10" x14ac:dyDescent="0.25">
      <c r="B29" s="10" t="s">
        <v>54</v>
      </c>
      <c r="D29" s="33">
        <f>C23</f>
        <v>0.4</v>
      </c>
      <c r="E29" s="33">
        <f>E19</f>
        <v>0.4</v>
      </c>
      <c r="F29" s="33">
        <f>F28+F19</f>
        <v>0.10479155025645073</v>
      </c>
      <c r="G29" s="33">
        <f>G28+G19</f>
        <v>9.5208449743549084E-2</v>
      </c>
    </row>
    <row r="30" spans="1:10" x14ac:dyDescent="0.25">
      <c r="B30" s="10" t="s">
        <v>41</v>
      </c>
      <c r="C30" s="33">
        <f>SUM(D29:G29)</f>
        <v>0.99999999999999978</v>
      </c>
    </row>
    <row r="31" spans="1:10" ht="14.25" thickBot="1" x14ac:dyDescent="0.3"/>
    <row r="32" spans="1:10" ht="15.75" thickBot="1" x14ac:dyDescent="0.35">
      <c r="B32" s="46" t="s">
        <v>49</v>
      </c>
      <c r="C32" s="47">
        <f>D29*D6+E29*E6+F29*F6+G29*G6</f>
        <v>0.57669903094062203</v>
      </c>
    </row>
    <row r="34" spans="2:2" x14ac:dyDescent="0.25">
      <c r="B34" s="13" t="s">
        <v>48</v>
      </c>
    </row>
    <row r="35" spans="2:2" x14ac:dyDescent="0.25">
      <c r="B35" s="10" t="s">
        <v>52</v>
      </c>
    </row>
    <row r="36" spans="2:2" x14ac:dyDescent="0.25">
      <c r="B36" s="13" t="s">
        <v>50</v>
      </c>
    </row>
    <row r="37" spans="2:2" x14ac:dyDescent="0.25">
      <c r="B37" s="10" t="s">
        <v>51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47D0B-DD92-4D6C-8F1A-64BFCA178836}">
  <sheetPr>
    <tabColor theme="0"/>
  </sheetPr>
  <dimension ref="A1:S102"/>
  <sheetViews>
    <sheetView showGridLines="0" zoomScale="85" zoomScaleNormal="85" workbookViewId="0">
      <selection activeCell="B9" sqref="B9"/>
    </sheetView>
  </sheetViews>
  <sheetFormatPr defaultRowHeight="13.5" x14ac:dyDescent="0.25"/>
  <cols>
    <col min="1" max="1" width="1.85546875" style="10" customWidth="1"/>
    <col min="2" max="2" width="48.7109375" style="10" customWidth="1"/>
    <col min="3" max="13" width="12.5703125" style="10" customWidth="1"/>
    <col min="14" max="18" width="9.140625" style="10"/>
    <col min="19" max="19" width="11" style="10" customWidth="1"/>
    <col min="20" max="16384" width="9.140625" style="10"/>
  </cols>
  <sheetData>
    <row r="1" spans="1:19" ht="30.75" x14ac:dyDescent="0.45">
      <c r="A1" s="14" t="str">
        <f>Cover!D8</f>
        <v>NVIDIA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</row>
    <row r="2" spans="1:19" x14ac:dyDescent="0.25">
      <c r="A2" s="15" t="s">
        <v>126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4" spans="1:19" ht="15" x14ac:dyDescent="0.3">
      <c r="A4" s="21" t="s">
        <v>7</v>
      </c>
      <c r="B4" s="37" t="s">
        <v>127</v>
      </c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</row>
    <row r="5" spans="1:19" ht="15" x14ac:dyDescent="0.3">
      <c r="A5" s="21"/>
      <c r="B5" s="117"/>
    </row>
    <row r="6" spans="1:19" x14ac:dyDescent="0.25">
      <c r="A6" s="21"/>
      <c r="B6" s="17" t="s">
        <v>128</v>
      </c>
      <c r="C6" s="17"/>
      <c r="D6" s="17"/>
      <c r="E6" s="17"/>
      <c r="F6" s="17"/>
      <c r="G6" s="17"/>
      <c r="H6" s="88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</row>
    <row r="7" spans="1:19" x14ac:dyDescent="0.25">
      <c r="A7" s="21"/>
    </row>
    <row r="8" spans="1:19" ht="15" x14ac:dyDescent="0.3">
      <c r="A8" s="21"/>
      <c r="B8" s="18" t="s">
        <v>10</v>
      </c>
      <c r="C8" s="118">
        <f>'Operating Model'!C8</f>
        <v>2020</v>
      </c>
      <c r="D8" s="118">
        <f>'Operating Model'!D8</f>
        <v>2021</v>
      </c>
      <c r="E8" s="118">
        <f>'Operating Model'!E8</f>
        <v>2022</v>
      </c>
      <c r="F8" s="118">
        <f>'Operating Model'!F8</f>
        <v>2023</v>
      </c>
      <c r="G8" s="118">
        <f>'Operating Model'!G8</f>
        <v>2024</v>
      </c>
      <c r="H8" s="20">
        <f>'Operating Model'!H8</f>
        <v>2025</v>
      </c>
      <c r="I8" s="20">
        <f>'Operating Model'!I8</f>
        <v>2026</v>
      </c>
      <c r="J8" s="20">
        <f>'Operating Model'!J8</f>
        <v>2027</v>
      </c>
      <c r="K8" s="20">
        <f>'Operating Model'!K8</f>
        <v>2028</v>
      </c>
      <c r="L8" s="20">
        <f>'Operating Model'!L8</f>
        <v>2029</v>
      </c>
    </row>
    <row r="9" spans="1:19" x14ac:dyDescent="0.25">
      <c r="A9" s="21"/>
      <c r="B9" s="10" t="s">
        <v>11</v>
      </c>
      <c r="C9" s="135"/>
      <c r="D9" s="127">
        <f>'Operating Model'!D9</f>
        <v>0.52729437625938824</v>
      </c>
      <c r="E9" s="127">
        <f>'Operating Model'!E9</f>
        <v>0.61403298350824587</v>
      </c>
      <c r="F9" s="127">
        <f>'Operating Model'!F9</f>
        <v>2.2293230289069932E-3</v>
      </c>
      <c r="G9" s="127">
        <f>'Operating Model'!G9</f>
        <v>1.2585452658115224</v>
      </c>
      <c r="H9" s="136">
        <f>'Operating Model'!H9</f>
        <v>0.57669903094062203</v>
      </c>
      <c r="I9" s="136">
        <f>'Operating Model'!I9</f>
        <v>0.47669903094062205</v>
      </c>
      <c r="J9" s="136">
        <f>'Operating Model'!J9</f>
        <v>0.37669903094062207</v>
      </c>
      <c r="K9" s="136">
        <f>'Operating Model'!K9</f>
        <v>0.27669903094062209</v>
      </c>
      <c r="L9" s="136">
        <f>'Operating Model'!L9</f>
        <v>0.17669903094062209</v>
      </c>
    </row>
    <row r="10" spans="1:19" x14ac:dyDescent="0.25">
      <c r="A10" s="21"/>
      <c r="B10" s="10" t="s">
        <v>12</v>
      </c>
      <c r="C10" s="127">
        <f>'Operating Model'!C10</f>
        <v>0.61989375343469499</v>
      </c>
      <c r="D10" s="127">
        <f>'Operating Model'!D10</f>
        <v>0.62344827586206897</v>
      </c>
      <c r="E10" s="127">
        <f>'Operating Model'!E10</f>
        <v>0.64929033216913135</v>
      </c>
      <c r="F10" s="127">
        <f>'Operating Model'!F10</f>
        <v>0.56928894490991322</v>
      </c>
      <c r="G10" s="127">
        <f>'Operating Model'!G10</f>
        <v>0.72717573290436954</v>
      </c>
      <c r="H10" s="136">
        <f>'Operating Model'!H10</f>
        <v>0.63781940785603564</v>
      </c>
      <c r="I10" s="136">
        <f>'Operating Model'!I10</f>
        <v>0.63781940785603564</v>
      </c>
      <c r="J10" s="136">
        <f>'Operating Model'!J10</f>
        <v>0.63781940785603564</v>
      </c>
      <c r="K10" s="136">
        <f>'Operating Model'!K10</f>
        <v>0.63781940785603564</v>
      </c>
      <c r="L10" s="136">
        <f>'Operating Model'!L10</f>
        <v>0.63781940785603564</v>
      </c>
    </row>
    <row r="11" spans="1:19" x14ac:dyDescent="0.25">
      <c r="A11" s="21"/>
      <c r="B11" s="10" t="s">
        <v>58</v>
      </c>
      <c r="C11" s="128">
        <f>'Operating Model'!C11</f>
        <v>0.25911339073090311</v>
      </c>
      <c r="D11" s="128">
        <f>'Operating Model'!D11</f>
        <v>0.2353223388305847</v>
      </c>
      <c r="E11" s="128">
        <f>'Operating Model'!E11</f>
        <v>0.19573456193802483</v>
      </c>
      <c r="F11" s="128">
        <f>'Operating Model'!F11</f>
        <v>0.27207681471046191</v>
      </c>
      <c r="G11" s="128">
        <f>'Operating Model'!G11</f>
        <v>0.14239519385443683</v>
      </c>
      <c r="H11" s="136">
        <f>'Operating Model'!H11</f>
        <v>0.2209284600128823</v>
      </c>
      <c r="I11" s="136">
        <f>'Operating Model'!I11</f>
        <v>0.2209284600128823</v>
      </c>
      <c r="J11" s="136">
        <f>'Operating Model'!J11</f>
        <v>0.2209284600128823</v>
      </c>
      <c r="K11" s="136">
        <f>'Operating Model'!K11</f>
        <v>0.2209284600128823</v>
      </c>
      <c r="L11" s="136">
        <f>'Operating Model'!L11</f>
        <v>0.2209284600128823</v>
      </c>
    </row>
    <row r="12" spans="1:19" x14ac:dyDescent="0.25">
      <c r="A12" s="21"/>
      <c r="B12" s="10" t="s">
        <v>13</v>
      </c>
      <c r="C12" s="128">
        <f>'Operating Model'!C12</f>
        <v>0.2606704524638212</v>
      </c>
      <c r="D12" s="128">
        <f>'Operating Model'!D12</f>
        <v>0.27178410794602698</v>
      </c>
      <c r="E12" s="128">
        <f>'Operating Model'!E12</f>
        <v>0.37307720888756779</v>
      </c>
      <c r="F12" s="128">
        <f>'Operating Model'!F12</f>
        <v>0.1565952398606065</v>
      </c>
      <c r="G12" s="128">
        <f>'Operating Model'!G12</f>
        <v>0.54121663766783756</v>
      </c>
      <c r="H12" s="136">
        <f>'Operating Model'!H12</f>
        <v>0.32066872936517199</v>
      </c>
      <c r="I12" s="136">
        <f>'Operating Model'!I12</f>
        <v>0.32066872936517199</v>
      </c>
      <c r="J12" s="136">
        <f>'Operating Model'!J12</f>
        <v>0.32066872936517199</v>
      </c>
      <c r="K12" s="136">
        <f>'Operating Model'!K12</f>
        <v>0.32066872936517199</v>
      </c>
      <c r="L12" s="136">
        <f>'Operating Model'!L12</f>
        <v>0.32066872936517199</v>
      </c>
    </row>
    <row r="13" spans="1:19" x14ac:dyDescent="0.25">
      <c r="A13" s="21"/>
      <c r="B13" s="10" t="s">
        <v>14</v>
      </c>
      <c r="C13" s="128">
        <f>'Operating Model'!C13</f>
        <v>-1.8318373328448433E-4</v>
      </c>
      <c r="D13" s="128">
        <f>'Operating Model'!D13</f>
        <v>2.39880059970015E-4</v>
      </c>
      <c r="E13" s="128">
        <f>'Operating Model'!E13</f>
        <v>3.9756260682172846E-3</v>
      </c>
      <c r="F13" s="128">
        <f>'Operating Model'!F13</f>
        <v>-1.7794913620523467E-3</v>
      </c>
      <c r="G13" s="128">
        <f>'Operating Model'!G13</f>
        <v>3.8902202816716459E-3</v>
      </c>
      <c r="H13" s="136">
        <f>'Operating Model'!H13</f>
        <v>1.2286102629044228E-3</v>
      </c>
      <c r="I13" s="136">
        <f>'Operating Model'!I13</f>
        <v>1.2286102629044228E-3</v>
      </c>
      <c r="J13" s="136">
        <f>'Operating Model'!J13</f>
        <v>1.2286102629044228E-3</v>
      </c>
      <c r="K13" s="136">
        <f>'Operating Model'!K13</f>
        <v>1.2286102629044228E-3</v>
      </c>
      <c r="L13" s="136">
        <f>'Operating Model'!L13</f>
        <v>1.2286102629044228E-3</v>
      </c>
    </row>
    <row r="14" spans="1:19" x14ac:dyDescent="0.25">
      <c r="A14" s="21"/>
      <c r="B14" s="10" t="s">
        <v>129</v>
      </c>
      <c r="C14" s="135"/>
      <c r="D14" s="135"/>
      <c r="E14" s="135"/>
      <c r="F14" s="135"/>
      <c r="G14" s="135"/>
      <c r="H14" s="136">
        <f>'Operating Model'!H14</f>
        <v>0.14000000000000001</v>
      </c>
      <c r="I14" s="136">
        <f>'Operating Model'!I14</f>
        <v>0.14000000000000001</v>
      </c>
      <c r="J14" s="136">
        <f>'Operating Model'!J14</f>
        <v>0.14000000000000001</v>
      </c>
      <c r="K14" s="136">
        <f>'Operating Model'!K14</f>
        <v>0.14000000000000001</v>
      </c>
      <c r="L14" s="136">
        <f>'Operating Model'!L14</f>
        <v>0.14000000000000001</v>
      </c>
    </row>
    <row r="15" spans="1:19" x14ac:dyDescent="0.25">
      <c r="A15" s="21"/>
      <c r="B15" s="10" t="s">
        <v>19</v>
      </c>
      <c r="C15" s="127">
        <f>'Operating Model'!C22</f>
        <v>4.478842278805642E-2</v>
      </c>
      <c r="D15" s="127">
        <f>'Operating Model'!D22</f>
        <v>6.7646176911544231E-2</v>
      </c>
      <c r="E15" s="127">
        <f>'Operating Model'!E22</f>
        <v>3.6263654603552055E-2</v>
      </c>
      <c r="F15" s="127">
        <f>'Operating Model'!F22</f>
        <v>6.7954326388373995E-2</v>
      </c>
      <c r="G15" s="127">
        <f>'Operating Model'!G22</f>
        <v>1.7547027346442992E-2</v>
      </c>
      <c r="H15" s="136">
        <f>'Operating Model'!H22</f>
        <v>4.683992160759394E-2</v>
      </c>
      <c r="I15" s="136">
        <f>'Operating Model'!I22</f>
        <v>4.683992160759394E-2</v>
      </c>
      <c r="J15" s="136">
        <f>'Operating Model'!J22</f>
        <v>4.683992160759394E-2</v>
      </c>
      <c r="K15" s="136">
        <f>'Operating Model'!K22</f>
        <v>4.683992160759394E-2</v>
      </c>
      <c r="L15" s="136">
        <f>'Operating Model'!L22</f>
        <v>4.683992160759394E-2</v>
      </c>
    </row>
    <row r="16" spans="1:19" x14ac:dyDescent="0.25">
      <c r="A16" s="21"/>
      <c r="B16" s="10" t="s">
        <v>20</v>
      </c>
      <c r="C16" s="127">
        <f>'Operating Model'!C23</f>
        <v>0.77914110429447858</v>
      </c>
      <c r="D16" s="127">
        <f>'Operating Model'!D23</f>
        <v>0.97340425531914898</v>
      </c>
      <c r="E16" s="127">
        <f>'Operating Model'!E23</f>
        <v>1.2028688524590163</v>
      </c>
      <c r="F16" s="127">
        <f>'Operating Model'!F23</f>
        <v>0.84233496999454449</v>
      </c>
      <c r="G16" s="127">
        <f>'Operating Model'!G23</f>
        <v>1.4106641721234798</v>
      </c>
      <c r="H16" s="137">
        <f>'Operating Model'!H23</f>
        <v>1.0416826708381337</v>
      </c>
      <c r="I16" s="137">
        <f>'Operating Model'!I23</f>
        <v>1.0516826708381337</v>
      </c>
      <c r="J16" s="137">
        <f>'Operating Model'!J23</f>
        <v>1.0616826708381337</v>
      </c>
      <c r="K16" s="137">
        <f>'Operating Model'!K23</f>
        <v>1.0716826708381337</v>
      </c>
      <c r="L16" s="137">
        <f>'Operating Model'!L23</f>
        <v>1.0816826708381337</v>
      </c>
    </row>
    <row r="17" spans="1:19" ht="15" x14ac:dyDescent="0.3">
      <c r="A17" s="21"/>
      <c r="B17" s="117"/>
    </row>
    <row r="18" spans="1:19" ht="15" x14ac:dyDescent="0.3">
      <c r="A18" s="21" t="s">
        <v>7</v>
      </c>
      <c r="B18" s="37" t="s">
        <v>130</v>
      </c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</row>
    <row r="19" spans="1:19" ht="15" x14ac:dyDescent="0.3">
      <c r="A19" s="21"/>
      <c r="B19" s="117"/>
    </row>
    <row r="20" spans="1:19" x14ac:dyDescent="0.25">
      <c r="A20" s="21" t="s">
        <v>7</v>
      </c>
      <c r="B20" s="17" t="s">
        <v>9</v>
      </c>
      <c r="C20" s="17"/>
      <c r="D20" s="17"/>
      <c r="E20" s="17"/>
      <c r="F20" s="17"/>
      <c r="G20" s="17"/>
      <c r="H20" s="88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</row>
    <row r="21" spans="1:19" x14ac:dyDescent="0.25">
      <c r="A21" s="21"/>
    </row>
    <row r="22" spans="1:19" ht="15.75" thickBot="1" x14ac:dyDescent="0.35">
      <c r="A22" s="21"/>
      <c r="B22" s="119" t="s">
        <v>10</v>
      </c>
      <c r="C22" s="120">
        <f>C8</f>
        <v>2020</v>
      </c>
      <c r="D22" s="120">
        <f t="shared" ref="D22:L22" si="0">D8</f>
        <v>2021</v>
      </c>
      <c r="E22" s="120">
        <f t="shared" si="0"/>
        <v>2022</v>
      </c>
      <c r="F22" s="120">
        <f t="shared" si="0"/>
        <v>2023</v>
      </c>
      <c r="G22" s="120">
        <f t="shared" si="0"/>
        <v>2024</v>
      </c>
      <c r="H22" s="27">
        <f t="shared" si="0"/>
        <v>2025</v>
      </c>
      <c r="I22" s="27">
        <f t="shared" si="0"/>
        <v>2026</v>
      </c>
      <c r="J22" s="27">
        <f t="shared" si="0"/>
        <v>2027</v>
      </c>
      <c r="K22" s="27">
        <f t="shared" si="0"/>
        <v>2028</v>
      </c>
      <c r="L22" s="27">
        <f t="shared" si="0"/>
        <v>2029</v>
      </c>
      <c r="M22" s="21"/>
      <c r="N22" s="21"/>
      <c r="O22" s="21"/>
      <c r="P22" s="21"/>
      <c r="Q22" s="21"/>
      <c r="R22" s="21"/>
      <c r="S22" s="21"/>
    </row>
    <row r="23" spans="1:19" x14ac:dyDescent="0.25">
      <c r="A23" s="21"/>
      <c r="B23" s="10" t="s">
        <v>30</v>
      </c>
      <c r="C23" s="210">
        <f>'Operating Model'!C38</f>
        <v>10918</v>
      </c>
      <c r="D23" s="210">
        <f>'Operating Model'!D38</f>
        <v>16675</v>
      </c>
      <c r="E23" s="210">
        <f>'Operating Model'!E38</f>
        <v>26914</v>
      </c>
      <c r="F23" s="210">
        <f>'Operating Model'!F38</f>
        <v>26974</v>
      </c>
      <c r="G23" s="216">
        <f>'Operating Model'!G38</f>
        <v>60922</v>
      </c>
      <c r="H23" s="210">
        <f>'Operating Model'!H38</f>
        <v>96055.658362964576</v>
      </c>
      <c r="I23" s="210">
        <f>'Operating Model'!I38</f>
        <v>141845.29762095324</v>
      </c>
      <c r="J23" s="210">
        <f>'Operating Model'!J38</f>
        <v>195278.28377825042</v>
      </c>
      <c r="K23" s="210">
        <f>'Operating Model'!K38</f>
        <v>249311.59566344012</v>
      </c>
      <c r="L23" s="210">
        <f>'Operating Model'!L38</f>
        <v>293364.71301943017</v>
      </c>
      <c r="M23" s="129"/>
    </row>
    <row r="24" spans="1:19" x14ac:dyDescent="0.25">
      <c r="A24" s="21"/>
      <c r="B24" s="10" t="s">
        <v>31</v>
      </c>
      <c r="C24" s="210">
        <f>'Operating Model'!C39</f>
        <v>4150</v>
      </c>
      <c r="D24" s="210">
        <f>'Operating Model'!D39</f>
        <v>6279</v>
      </c>
      <c r="E24" s="210">
        <f>'Operating Model'!E39</f>
        <v>9439</v>
      </c>
      <c r="F24" s="210">
        <f>'Operating Model'!F39</f>
        <v>11618</v>
      </c>
      <c r="G24" s="216">
        <f>'Operating Model'!G39</f>
        <v>16621</v>
      </c>
      <c r="H24" s="210">
        <f>'Operating Model'!H39</f>
        <v>34789.495224676852</v>
      </c>
      <c r="I24" s="210">
        <f>'Operating Model'!I39</f>
        <v>51373.613885193699</v>
      </c>
      <c r="J24" s="210">
        <f>'Operating Model'!J39</f>
        <v>70726.004451663845</v>
      </c>
      <c r="K24" s="210">
        <f>'Operating Model'!K39</f>
        <v>90295.821345741366</v>
      </c>
      <c r="L24" s="210">
        <f>'Operating Model'!L39</f>
        <v>106251.00547552138</v>
      </c>
    </row>
    <row r="25" spans="1:19" ht="15" x14ac:dyDescent="0.3">
      <c r="A25" s="21"/>
      <c r="B25" s="52" t="s">
        <v>32</v>
      </c>
      <c r="C25" s="211">
        <f>C23-C24</f>
        <v>6768</v>
      </c>
      <c r="D25" s="211">
        <f t="shared" ref="D25:E25" si="1">D23-D24</f>
        <v>10396</v>
      </c>
      <c r="E25" s="211">
        <f t="shared" si="1"/>
        <v>17475</v>
      </c>
      <c r="F25" s="211">
        <f>F23-F24</f>
        <v>15356</v>
      </c>
      <c r="G25" s="212">
        <f t="shared" ref="G25:L25" si="2">G23-G24</f>
        <v>44301</v>
      </c>
      <c r="H25" s="211">
        <f t="shared" si="2"/>
        <v>61266.163138287724</v>
      </c>
      <c r="I25" s="211">
        <f t="shared" si="2"/>
        <v>90471.683735759536</v>
      </c>
      <c r="J25" s="211">
        <f t="shared" si="2"/>
        <v>124552.27932658658</v>
      </c>
      <c r="K25" s="211">
        <f t="shared" si="2"/>
        <v>159015.77431769876</v>
      </c>
      <c r="L25" s="211">
        <f t="shared" si="2"/>
        <v>187113.70754390879</v>
      </c>
    </row>
    <row r="26" spans="1:19" x14ac:dyDescent="0.25">
      <c r="A26" s="21"/>
      <c r="C26" s="213"/>
      <c r="D26" s="213"/>
      <c r="E26" s="213"/>
      <c r="F26" s="214"/>
      <c r="G26" s="215"/>
      <c r="H26" s="214"/>
      <c r="I26" s="214"/>
      <c r="J26" s="214"/>
      <c r="K26" s="214"/>
      <c r="L26" s="214"/>
    </row>
    <row r="27" spans="1:19" x14ac:dyDescent="0.25">
      <c r="A27" s="21"/>
      <c r="B27" s="10" t="s">
        <v>55</v>
      </c>
      <c r="C27" s="210">
        <f>'Operating Model'!C42</f>
        <v>2829</v>
      </c>
      <c r="D27" s="210">
        <f>'Operating Model'!D42</f>
        <v>3924</v>
      </c>
      <c r="E27" s="210">
        <f>'Operating Model'!E42</f>
        <v>5268</v>
      </c>
      <c r="F27" s="210">
        <f>'Operating Model'!F42</f>
        <v>7339</v>
      </c>
      <c r="G27" s="216">
        <f>'Operating Model'!G42</f>
        <v>8675</v>
      </c>
      <c r="H27" s="210">
        <f>'Operating Model'!H42</f>
        <v>21221.428677653301</v>
      </c>
      <c r="I27" s="210">
        <f>'Operating Model'!I42</f>
        <v>31337.663163466157</v>
      </c>
      <c r="J27" s="210">
        <f>'Operating Model'!J42</f>
        <v>43142.530509087483</v>
      </c>
      <c r="K27" s="210">
        <f>'Operating Model'!K42</f>
        <v>55080.026893278213</v>
      </c>
      <c r="L27" s="210">
        <f>'Operating Model'!L42</f>
        <v>64812.614269503872</v>
      </c>
    </row>
    <row r="28" spans="1:19" x14ac:dyDescent="0.25">
      <c r="A28" s="21"/>
      <c r="B28" s="10" t="s">
        <v>56</v>
      </c>
      <c r="C28" s="210">
        <f>'Operating Model'!C43</f>
        <v>1093</v>
      </c>
      <c r="D28" s="210">
        <f>'Operating Model'!D43</f>
        <v>1940</v>
      </c>
      <c r="E28" s="210">
        <f>'Operating Model'!E43</f>
        <v>2166</v>
      </c>
      <c r="F28" s="210">
        <f>'Operating Model'!F43</f>
        <v>3793</v>
      </c>
      <c r="G28" s="216">
        <f>'Operating Model'!G43</f>
        <v>2654</v>
      </c>
      <c r="H28" s="210">
        <f>'Operating Model'!H43</f>
        <v>9580.6172379336058</v>
      </c>
      <c r="I28" s="210">
        <f>'Operating Model'!I43</f>
        <v>14147.68819106957</v>
      </c>
      <c r="J28" s="210">
        <f>'Operating Model'!J43</f>
        <v>19477.108622695559</v>
      </c>
      <c r="K28" s="210">
        <f>'Operating Model'!K43</f>
        <v>24866.405704120662</v>
      </c>
      <c r="L28" s="210">
        <f>'Operating Model'!L43</f>
        <v>29260.275495015128</v>
      </c>
    </row>
    <row r="29" spans="1:19" x14ac:dyDescent="0.25">
      <c r="A29" s="21"/>
      <c r="C29" s="210"/>
      <c r="D29" s="210"/>
      <c r="E29" s="210"/>
      <c r="F29" s="210"/>
      <c r="G29" s="216"/>
      <c r="H29" s="210"/>
      <c r="I29" s="210"/>
      <c r="J29" s="210"/>
      <c r="K29" s="210"/>
      <c r="L29" s="210"/>
    </row>
    <row r="30" spans="1:19" ht="15" x14ac:dyDescent="0.3">
      <c r="A30" s="21"/>
      <c r="B30" s="52" t="s">
        <v>131</v>
      </c>
      <c r="C30" s="217">
        <f>C25-SUM(C27:C29)</f>
        <v>2846</v>
      </c>
      <c r="D30" s="217">
        <f t="shared" ref="D30:L30" si="3">D25-SUM(D27:D29)</f>
        <v>4532</v>
      </c>
      <c r="E30" s="217">
        <f t="shared" si="3"/>
        <v>10041</v>
      </c>
      <c r="F30" s="217">
        <f t="shared" si="3"/>
        <v>4224</v>
      </c>
      <c r="G30" s="218">
        <f t="shared" si="3"/>
        <v>32972</v>
      </c>
      <c r="H30" s="217">
        <f t="shared" si="3"/>
        <v>30464.117222700817</v>
      </c>
      <c r="I30" s="217">
        <f t="shared" si="3"/>
        <v>44986.332381223809</v>
      </c>
      <c r="J30" s="217">
        <f t="shared" si="3"/>
        <v>61932.640194803535</v>
      </c>
      <c r="K30" s="217">
        <f t="shared" si="3"/>
        <v>79069.341720299883</v>
      </c>
      <c r="L30" s="217">
        <f t="shared" si="3"/>
        <v>93040.817779389792</v>
      </c>
      <c r="M30" s="81"/>
    </row>
    <row r="31" spans="1:19" x14ac:dyDescent="0.25">
      <c r="A31" s="21"/>
      <c r="C31" s="214"/>
      <c r="D31" s="214"/>
      <c r="E31" s="214"/>
      <c r="F31" s="214"/>
      <c r="G31" s="215"/>
      <c r="H31" s="214"/>
      <c r="I31" s="214"/>
      <c r="J31" s="214"/>
      <c r="K31" s="214"/>
      <c r="L31" s="214"/>
      <c r="O31" s="81"/>
    </row>
    <row r="32" spans="1:19" x14ac:dyDescent="0.25">
      <c r="A32" s="21"/>
      <c r="B32" s="10" t="s">
        <v>132</v>
      </c>
      <c r="C32" s="210">
        <f>'Operating Model'!C50</f>
        <v>174</v>
      </c>
      <c r="D32" s="210">
        <f>'Operating Model'!D50</f>
        <v>77</v>
      </c>
      <c r="E32" s="210">
        <f>'Operating Model'!E50</f>
        <v>189</v>
      </c>
      <c r="F32" s="210">
        <f>'Operating Model'!F50</f>
        <v>-187</v>
      </c>
      <c r="G32" s="216">
        <f>'Operating Model'!G50</f>
        <v>4058</v>
      </c>
      <c r="H32" s="210">
        <f ca="1">'Operating Model'!H50</f>
        <v>4311.6478661566362</v>
      </c>
      <c r="I32" s="210">
        <f ca="1">'Operating Model'!I50</f>
        <v>6392.3473520112593</v>
      </c>
      <c r="J32" s="210">
        <f ca="1">'Operating Model'!J50</f>
        <v>8800.3384049497508</v>
      </c>
      <c r="K32" s="210">
        <f ca="1">'Operating Model'!K50</f>
        <v>11235.38351354889</v>
      </c>
      <c r="L32" s="210">
        <f ca="1">'Operating Model'!L50</f>
        <v>13220.664892639217</v>
      </c>
    </row>
    <row r="33" spans="1:19" ht="15" x14ac:dyDescent="0.3">
      <c r="A33" s="21"/>
      <c r="B33" s="52" t="s">
        <v>133</v>
      </c>
      <c r="C33" s="217">
        <f t="shared" ref="C33:L33" si="4">C30-SUM(C32:C32)</f>
        <v>2672</v>
      </c>
      <c r="D33" s="217">
        <f t="shared" si="4"/>
        <v>4455</v>
      </c>
      <c r="E33" s="217">
        <f t="shared" si="4"/>
        <v>9852</v>
      </c>
      <c r="F33" s="217">
        <f t="shared" si="4"/>
        <v>4411</v>
      </c>
      <c r="G33" s="218">
        <f t="shared" si="4"/>
        <v>28914</v>
      </c>
      <c r="H33" s="217">
        <f t="shared" ca="1" si="4"/>
        <v>26152.469356544181</v>
      </c>
      <c r="I33" s="217">
        <f t="shared" ca="1" si="4"/>
        <v>38593.985029212548</v>
      </c>
      <c r="J33" s="217">
        <f t="shared" ca="1" si="4"/>
        <v>53132.30178985378</v>
      </c>
      <c r="K33" s="217">
        <f t="shared" ca="1" si="4"/>
        <v>67833.958206750991</v>
      </c>
      <c r="L33" s="217">
        <f t="shared" ca="1" si="4"/>
        <v>79820.152886750569</v>
      </c>
    </row>
    <row r="34" spans="1:19" x14ac:dyDescent="0.25">
      <c r="A34" s="21"/>
      <c r="C34" s="214"/>
      <c r="D34" s="214"/>
      <c r="E34" s="214"/>
      <c r="F34" s="214"/>
      <c r="G34" s="215"/>
      <c r="H34" s="214"/>
      <c r="I34" s="214"/>
      <c r="J34" s="214"/>
      <c r="K34" s="214"/>
      <c r="L34" s="214"/>
    </row>
    <row r="35" spans="1:19" x14ac:dyDescent="0.25">
      <c r="A35" s="21"/>
      <c r="B35" s="10" t="s">
        <v>92</v>
      </c>
      <c r="C35" s="219"/>
      <c r="D35" s="219"/>
      <c r="E35" s="219"/>
      <c r="F35" s="219"/>
      <c r="G35" s="220"/>
      <c r="H35" s="210">
        <f>'Operating Model'!H95</f>
        <v>-4499.2395076870862</v>
      </c>
      <c r="I35" s="210">
        <f>'Operating Model'!I95</f>
        <v>-6644.022620971281</v>
      </c>
      <c r="J35" s="210">
        <f>'Operating Model'!J95</f>
        <v>-9146.819503838733</v>
      </c>
      <c r="K35" s="210">
        <f>'Operating Model'!K95</f>
        <v>-11677.735596739692</v>
      </c>
      <c r="L35" s="210">
        <f>'Operating Model'!L95</f>
        <v>-13741.180160264403</v>
      </c>
      <c r="M35" s="138"/>
    </row>
    <row r="36" spans="1:19" x14ac:dyDescent="0.25">
      <c r="A36" s="21"/>
      <c r="B36" s="10" t="s">
        <v>134</v>
      </c>
      <c r="C36" s="219"/>
      <c r="D36" s="219"/>
      <c r="E36" s="219"/>
      <c r="F36" s="219"/>
      <c r="G36" s="220"/>
      <c r="H36" s="210">
        <f>'Operating Model'!H92</f>
        <v>-2741.0324413074704</v>
      </c>
      <c r="I36" s="210">
        <f>'Operating Model'!I92</f>
        <v>-5587.4048063948539</v>
      </c>
      <c r="J36" s="210">
        <f>'Operating Model'!J92</f>
        <v>-6520.0715383060342</v>
      </c>
      <c r="K36" s="210">
        <f>'Operating Model'!K92</f>
        <v>-6593.3252898486171</v>
      </c>
      <c r="L36" s="210">
        <f>'Operating Model'!L92</f>
        <v>-5375.508600640329</v>
      </c>
      <c r="N36" s="138"/>
      <c r="O36" s="138"/>
      <c r="P36" s="138"/>
      <c r="Q36" s="138"/>
      <c r="R36" s="138"/>
    </row>
    <row r="37" spans="1:19" x14ac:dyDescent="0.25">
      <c r="A37" s="21"/>
      <c r="B37" s="10" t="s">
        <v>87</v>
      </c>
      <c r="C37" s="219"/>
      <c r="D37" s="219"/>
      <c r="E37" s="219"/>
      <c r="F37" s="219"/>
      <c r="G37" s="220"/>
      <c r="H37" s="210">
        <f>'Operating Model'!H89</f>
        <v>4686.7798271079337</v>
      </c>
      <c r="I37" s="210">
        <f>'Operating Model'!I89</f>
        <v>6987.4034551320538</v>
      </c>
      <c r="J37" s="210">
        <f>'Operating Model'!J89</f>
        <v>9711.0197605098383</v>
      </c>
      <c r="K37" s="210">
        <f>'Operating Model'!K89</f>
        <v>12514.826873655542</v>
      </c>
      <c r="L37" s="210">
        <f>'Operating Model'!L89</f>
        <v>14863.596456222775</v>
      </c>
    </row>
    <row r="38" spans="1:19" x14ac:dyDescent="0.25">
      <c r="A38" s="21"/>
      <c r="B38" s="10" t="s">
        <v>135</v>
      </c>
      <c r="C38" s="219"/>
      <c r="D38" s="219"/>
      <c r="E38" s="219"/>
      <c r="F38" s="219"/>
      <c r="G38" s="220"/>
      <c r="H38" s="210">
        <v>0</v>
      </c>
      <c r="I38" s="210">
        <v>0</v>
      </c>
      <c r="J38" s="210">
        <v>0</v>
      </c>
      <c r="K38" s="210">
        <v>0</v>
      </c>
      <c r="L38" s="210">
        <v>0</v>
      </c>
    </row>
    <row r="39" spans="1:19" x14ac:dyDescent="0.25">
      <c r="A39" s="21"/>
      <c r="B39" s="10" t="s">
        <v>136</v>
      </c>
      <c r="C39" s="219"/>
      <c r="D39" s="219"/>
      <c r="E39" s="219"/>
      <c r="F39" s="219"/>
      <c r="G39" s="220"/>
      <c r="H39" s="210">
        <v>0</v>
      </c>
      <c r="I39" s="210">
        <v>0</v>
      </c>
      <c r="J39" s="210">
        <v>0</v>
      </c>
      <c r="K39" s="210">
        <v>0</v>
      </c>
      <c r="L39" s="210">
        <v>0</v>
      </c>
    </row>
    <row r="40" spans="1:19" ht="15" x14ac:dyDescent="0.3">
      <c r="A40" s="21"/>
      <c r="B40" s="121" t="s">
        <v>137</v>
      </c>
      <c r="C40" s="221">
        <f>C33-C35</f>
        <v>2672</v>
      </c>
      <c r="D40" s="221"/>
      <c r="E40" s="221"/>
      <c r="F40" s="221">
        <f>F33-F35</f>
        <v>4411</v>
      </c>
      <c r="G40" s="222">
        <f>G33-G35</f>
        <v>28914</v>
      </c>
      <c r="H40" s="217">
        <f ca="1">H33+H35-H36+H37+H38-H39</f>
        <v>29081.0421172725</v>
      </c>
      <c r="I40" s="217">
        <f t="shared" ref="I40:L40" ca="1" si="5">I33+I35-I36+I37+I38-I39</f>
        <v>44524.770669768172</v>
      </c>
      <c r="J40" s="217">
        <f t="shared" ca="1" si="5"/>
        <v>60216.573584830912</v>
      </c>
      <c r="K40" s="217">
        <f t="shared" ca="1" si="5"/>
        <v>75264.374773515461</v>
      </c>
      <c r="L40" s="217">
        <f t="shared" ca="1" si="5"/>
        <v>86318.077783349276</v>
      </c>
      <c r="M40" s="79"/>
    </row>
    <row r="41" spans="1:19" x14ac:dyDescent="0.25">
      <c r="A41" s="21"/>
      <c r="C41" s="214"/>
      <c r="D41" s="214"/>
      <c r="E41" s="214"/>
      <c r="F41" s="214"/>
      <c r="G41" s="215"/>
      <c r="H41" s="214"/>
      <c r="I41" s="214"/>
      <c r="J41" s="214"/>
      <c r="K41" s="214"/>
      <c r="L41" s="214"/>
      <c r="M41" s="138"/>
    </row>
    <row r="42" spans="1:19" ht="15" x14ac:dyDescent="0.3">
      <c r="A42" s="21"/>
      <c r="B42" s="18" t="s">
        <v>138</v>
      </c>
      <c r="C42" s="122">
        <f>C54</f>
        <v>0.13750038095858225</v>
      </c>
      <c r="D42" s="226"/>
      <c r="E42" s="226"/>
      <c r="F42" s="227"/>
      <c r="G42" s="228"/>
      <c r="H42" s="227"/>
      <c r="I42" s="227"/>
      <c r="J42" s="227"/>
      <c r="K42" s="227"/>
      <c r="L42" s="227"/>
      <c r="M42" s="129"/>
      <c r="N42" s="138"/>
      <c r="O42" s="138"/>
      <c r="P42" s="138"/>
      <c r="Q42" s="138"/>
    </row>
    <row r="43" spans="1:19" x14ac:dyDescent="0.25">
      <c r="A43" s="21"/>
      <c r="B43" s="10" t="s">
        <v>139</v>
      </c>
      <c r="C43" s="227"/>
      <c r="D43" s="227"/>
      <c r="E43" s="227"/>
      <c r="F43" s="227"/>
      <c r="G43" s="228"/>
      <c r="H43" s="229">
        <f>(1/(1*(1+$C$42)^(H8-$G$8)))</f>
        <v>0.87912058469579646</v>
      </c>
      <c r="I43" s="229">
        <f>(1/(1*(1+$C$42)^(I8-$G$8)))</f>
        <v>0.77285300243587907</v>
      </c>
      <c r="J43" s="229">
        <f>(1/(1*(1+$C$42)^(J8-$G$8)))</f>
        <v>0.67943098338533181</v>
      </c>
      <c r="K43" s="229">
        <f>(1/(1*(1+$C$42)^(K8-$G$8)))</f>
        <v>0.59730176337415297</v>
      </c>
      <c r="L43" s="229">
        <f>(1/(1*(1+$C$42)^(L8-$G$8)))</f>
        <v>0.52510027545731564</v>
      </c>
      <c r="M43" s="139"/>
    </row>
    <row r="44" spans="1:19" ht="14.25" thickBot="1" x14ac:dyDescent="0.3">
      <c r="A44" s="21"/>
      <c r="C44" s="210"/>
      <c r="D44" s="210"/>
      <c r="E44" s="210"/>
      <c r="F44" s="210"/>
      <c r="G44" s="216"/>
      <c r="H44" s="210"/>
      <c r="I44" s="210"/>
      <c r="J44" s="210"/>
      <c r="K44" s="210"/>
      <c r="L44" s="210"/>
      <c r="N44" s="139"/>
      <c r="O44" s="139"/>
      <c r="P44" s="139"/>
      <c r="Q44" s="139"/>
    </row>
    <row r="45" spans="1:19" ht="15.75" thickBot="1" x14ac:dyDescent="0.35">
      <c r="A45" s="21"/>
      <c r="B45" s="123" t="s">
        <v>140</v>
      </c>
      <c r="C45" s="223"/>
      <c r="D45" s="223"/>
      <c r="E45" s="223"/>
      <c r="F45" s="223"/>
      <c r="G45" s="224"/>
      <c r="H45" s="223">
        <f ca="1">H40*H43</f>
        <v>25565.742749699682</v>
      </c>
      <c r="I45" s="223">
        <f t="shared" ref="I45:L45" ca="1" si="6">I40*I43</f>
        <v>34411.102694899295</v>
      </c>
      <c r="J45" s="223">
        <f t="shared" ca="1" si="6"/>
        <v>40913.00580683686</v>
      </c>
      <c r="K45" s="223">
        <f t="shared" ca="1" si="6"/>
        <v>44955.543771473902</v>
      </c>
      <c r="L45" s="225">
        <f t="shared" ca="1" si="6"/>
        <v>45325.646420982703</v>
      </c>
      <c r="M45" s="140"/>
    </row>
    <row r="46" spans="1:19" x14ac:dyDescent="0.25">
      <c r="A46" s="21"/>
      <c r="G46" s="78"/>
    </row>
    <row r="47" spans="1:19" ht="15" x14ac:dyDescent="0.3">
      <c r="A47" s="21" t="s">
        <v>7</v>
      </c>
      <c r="B47" s="37" t="s">
        <v>141</v>
      </c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</row>
    <row r="49" spans="1:15" ht="14.25" thickBot="1" x14ac:dyDescent="0.3">
      <c r="A49" s="21"/>
    </row>
    <row r="50" spans="1:15" ht="15" x14ac:dyDescent="0.3">
      <c r="A50" s="21"/>
      <c r="B50" s="245" t="s">
        <v>138</v>
      </c>
      <c r="C50" s="246"/>
      <c r="D50" s="30"/>
      <c r="E50" s="30"/>
      <c r="G50" s="247" t="s">
        <v>142</v>
      </c>
      <c r="H50" s="247"/>
      <c r="I50" s="247"/>
      <c r="J50" s="247"/>
      <c r="K50" s="247"/>
      <c r="L50" s="247"/>
      <c r="M50" s="247"/>
    </row>
    <row r="51" spans="1:15" ht="15" x14ac:dyDescent="0.3">
      <c r="A51" s="21"/>
      <c r="B51" s="141" t="s">
        <v>143</v>
      </c>
      <c r="C51" s="209">
        <f>SUM('Operating Model'!G74:G75)/(SUM('Operating Model'!G74:G75)+'Discounted Cash Flow'!O88*'Discounted Cash Flow'!P99)</f>
        <v>3.0268025053029949E-2</v>
      </c>
      <c r="D51" s="130"/>
      <c r="E51" s="130"/>
      <c r="H51" s="243" t="s">
        <v>144</v>
      </c>
      <c r="I51" s="243"/>
      <c r="J51" s="243"/>
      <c r="K51" s="243"/>
      <c r="L51" s="243"/>
      <c r="M51" s="243"/>
      <c r="N51" s="81"/>
      <c r="O51" s="81"/>
    </row>
    <row r="52" spans="1:15" x14ac:dyDescent="0.25">
      <c r="A52" s="21"/>
      <c r="B52" s="141" t="s">
        <v>145</v>
      </c>
      <c r="C52" s="142">
        <f>C66</f>
        <v>4.3000000000000003E-2</v>
      </c>
      <c r="D52" s="33"/>
      <c r="E52" s="33"/>
      <c r="H52" s="143">
        <f>C54</f>
        <v>0.13750038095858225</v>
      </c>
      <c r="I52" s="144">
        <f t="shared" ref="I52:J52" si="7">J52-0.01</f>
        <v>0.03</v>
      </c>
      <c r="J52" s="144">
        <f t="shared" si="7"/>
        <v>0.04</v>
      </c>
      <c r="K52" s="144">
        <v>0.05</v>
      </c>
      <c r="L52" s="144">
        <f>K52+0.01</f>
        <v>6.0000000000000005E-2</v>
      </c>
      <c r="M52" s="144">
        <f>L52+0.01</f>
        <v>7.0000000000000007E-2</v>
      </c>
    </row>
    <row r="53" spans="1:15" ht="15" customHeight="1" x14ac:dyDescent="0.25">
      <c r="A53" s="21"/>
      <c r="B53" s="141" t="s">
        <v>146</v>
      </c>
      <c r="C53" s="145">
        <f>C61</f>
        <v>0.14045000000000002</v>
      </c>
      <c r="D53" s="33"/>
      <c r="E53" s="33"/>
      <c r="G53" s="244" t="s">
        <v>147</v>
      </c>
      <c r="H53" s="146">
        <f>H54-0.01</f>
        <v>1.026802505302995E-2</v>
      </c>
      <c r="I53" s="32">
        <f t="dataTable" ref="I53:M57" dt2D="1" dtr="1" r1="C64" r2="C51"/>
        <v>0.13927277092767013</v>
      </c>
      <c r="J53" s="32">
        <v>0.13936107594312619</v>
      </c>
      <c r="K53" s="32">
        <v>0.13944938095858225</v>
      </c>
      <c r="L53" s="32">
        <v>0.13953768597403832</v>
      </c>
      <c r="M53" s="32">
        <v>0.13962599098949435</v>
      </c>
    </row>
    <row r="54" spans="1:15" ht="15.75" thickBot="1" x14ac:dyDescent="0.35">
      <c r="A54" s="21"/>
      <c r="B54" s="125" t="s">
        <v>138</v>
      </c>
      <c r="C54" s="147">
        <f>C51*C52+(1-C51)*C53</f>
        <v>0.13750038095858225</v>
      </c>
      <c r="D54" s="33"/>
      <c r="E54" s="33"/>
      <c r="G54" s="244"/>
      <c r="H54" s="146">
        <f>H55-0.01</f>
        <v>2.026802505302995E-2</v>
      </c>
      <c r="I54" s="32">
        <v>0.13812627092767013</v>
      </c>
      <c r="J54" s="148">
        <v>0.1383005759431262</v>
      </c>
      <c r="K54" s="149">
        <v>0.13847488095858224</v>
      </c>
      <c r="L54" s="150">
        <v>0.1386491859740383</v>
      </c>
      <c r="M54" s="32">
        <v>0.13882349098949437</v>
      </c>
    </row>
    <row r="55" spans="1:15" ht="14.25" thickBot="1" x14ac:dyDescent="0.3">
      <c r="A55" s="21"/>
      <c r="G55" s="244"/>
      <c r="H55" s="146">
        <v>3.0268025053029949E-2</v>
      </c>
      <c r="I55" s="32">
        <v>0.13697977092767014</v>
      </c>
      <c r="J55" s="151">
        <v>0.13724007594312618</v>
      </c>
      <c r="K55" s="152">
        <v>0.13750038095858225</v>
      </c>
      <c r="L55" s="153">
        <v>0.13776068597403829</v>
      </c>
      <c r="M55" s="32">
        <v>0.13802099098949436</v>
      </c>
    </row>
    <row r="56" spans="1:15" ht="15" x14ac:dyDescent="0.3">
      <c r="A56" s="21"/>
      <c r="B56" s="245" t="s">
        <v>191</v>
      </c>
      <c r="C56" s="246"/>
      <c r="D56" s="30"/>
      <c r="E56" s="30"/>
      <c r="G56" s="244"/>
      <c r="H56" s="146">
        <f>H55+0.01</f>
        <v>4.0268025053029947E-2</v>
      </c>
      <c r="I56" s="32">
        <v>0.13583327092767011</v>
      </c>
      <c r="J56" s="154">
        <v>0.13617957594312619</v>
      </c>
      <c r="K56" s="155">
        <v>0.13652588095858223</v>
      </c>
      <c r="L56" s="156">
        <v>0.1368721859740383</v>
      </c>
      <c r="M56" s="32">
        <v>0.13721849098949435</v>
      </c>
    </row>
    <row r="57" spans="1:15" x14ac:dyDescent="0.25">
      <c r="A57" s="21"/>
      <c r="B57" s="141" t="s">
        <v>148</v>
      </c>
      <c r="C57" s="133">
        <v>4.4200000000000003E-2</v>
      </c>
      <c r="D57" s="131"/>
      <c r="E57" s="131"/>
      <c r="G57" s="244"/>
      <c r="H57" s="146">
        <f>H56+0.01</f>
        <v>5.0268025053029949E-2</v>
      </c>
      <c r="I57" s="32">
        <v>0.13468677092767012</v>
      </c>
      <c r="J57" s="32">
        <v>0.13511907594312619</v>
      </c>
      <c r="K57" s="32">
        <v>0.13555138095858224</v>
      </c>
      <c r="L57" s="32">
        <v>0.13598368597403829</v>
      </c>
      <c r="M57" s="32">
        <v>0.13641599098949436</v>
      </c>
    </row>
    <row r="58" spans="1:15" x14ac:dyDescent="0.25">
      <c r="A58" s="21"/>
      <c r="B58" s="141" t="s">
        <v>149</v>
      </c>
      <c r="C58" s="235">
        <v>1.75</v>
      </c>
      <c r="D58" s="132"/>
      <c r="E58" s="132"/>
    </row>
    <row r="59" spans="1:15" ht="15" x14ac:dyDescent="0.3">
      <c r="A59" s="21"/>
      <c r="B59" s="141" t="s">
        <v>150</v>
      </c>
      <c r="C59" s="133">
        <v>9.920000000000001E-2</v>
      </c>
      <c r="D59" s="129"/>
      <c r="E59" s="129"/>
      <c r="H59" s="243" t="s">
        <v>146</v>
      </c>
      <c r="I59" s="243"/>
      <c r="J59" s="243"/>
      <c r="K59" s="243"/>
      <c r="L59" s="243"/>
      <c r="M59" s="243"/>
    </row>
    <row r="60" spans="1:15" x14ac:dyDescent="0.25">
      <c r="A60" s="21"/>
      <c r="B60" s="141" t="s">
        <v>151</v>
      </c>
      <c r="C60" s="145">
        <f>C59-C57</f>
        <v>5.5000000000000007E-2</v>
      </c>
      <c r="D60" s="132"/>
      <c r="E60" s="132"/>
      <c r="H60" s="143">
        <f>C54</f>
        <v>0.13750038095858225</v>
      </c>
      <c r="I60" s="144">
        <f t="shared" ref="I60:J60" si="8">J60-0.01</f>
        <v>0.12045000000000002</v>
      </c>
      <c r="J60" s="144">
        <f t="shared" si="8"/>
        <v>0.13045000000000001</v>
      </c>
      <c r="K60" s="144">
        <v>0.14045000000000002</v>
      </c>
      <c r="L60" s="144">
        <f>K60+0.01</f>
        <v>0.15045000000000003</v>
      </c>
      <c r="M60" s="144">
        <f>L60+0.01</f>
        <v>0.16045000000000004</v>
      </c>
    </row>
    <row r="61" spans="1:15" ht="16.5" customHeight="1" thickBot="1" x14ac:dyDescent="0.35">
      <c r="A61" s="21"/>
      <c r="B61" s="125" t="s">
        <v>146</v>
      </c>
      <c r="C61" s="147">
        <f>C57+(C58*(C59-C57))</f>
        <v>0.14045000000000002</v>
      </c>
      <c r="D61" s="33"/>
      <c r="E61" s="33"/>
      <c r="G61" s="244" t="s">
        <v>147</v>
      </c>
      <c r="H61" s="146">
        <f>H62-0.01</f>
        <v>1.026802505302995E-2</v>
      </c>
      <c r="I61" s="32">
        <f t="dataTable" ref="I61:M65" dt2D="1" dtr="1" r1="C61" r2="C51" ca="1"/>
        <v>0.11965474145964285</v>
      </c>
      <c r="J61" s="32">
        <v>0.12955206120911256</v>
      </c>
      <c r="K61" s="32">
        <v>0.13944938095858225</v>
      </c>
      <c r="L61" s="32">
        <v>0.14934670070805198</v>
      </c>
      <c r="M61" s="32">
        <v>0.15924402045752167</v>
      </c>
    </row>
    <row r="62" spans="1:15" ht="14.25" thickBot="1" x14ac:dyDescent="0.3">
      <c r="A62" s="21"/>
      <c r="G62" s="244"/>
      <c r="H62" s="146">
        <f>H63-0.01</f>
        <v>2.026802505302995E-2</v>
      </c>
      <c r="I62" s="32">
        <v>0.11888024145964285</v>
      </c>
      <c r="J62" s="148">
        <v>0.12867756120911253</v>
      </c>
      <c r="K62" s="149">
        <v>0.13847488095858224</v>
      </c>
      <c r="L62" s="150">
        <v>0.14827220070805194</v>
      </c>
      <c r="M62" s="32">
        <v>0.15806952045752165</v>
      </c>
    </row>
    <row r="63" spans="1:15" ht="15.75" thickBot="1" x14ac:dyDescent="0.35">
      <c r="A63" s="21"/>
      <c r="B63" s="245" t="s">
        <v>145</v>
      </c>
      <c r="C63" s="246"/>
      <c r="D63" s="30"/>
      <c r="E63" s="30"/>
      <c r="G63" s="244"/>
      <c r="H63" s="146">
        <v>3.0268025053029949E-2</v>
      </c>
      <c r="I63" s="32">
        <v>0.11810574145964285</v>
      </c>
      <c r="J63" s="151">
        <v>0.12780306120911256</v>
      </c>
      <c r="K63" s="152">
        <v>0.13750038095858225</v>
      </c>
      <c r="L63" s="153">
        <v>0.14719770070805197</v>
      </c>
      <c r="M63" s="32">
        <v>0.15689502045752168</v>
      </c>
    </row>
    <row r="64" spans="1:15" x14ac:dyDescent="0.25">
      <c r="A64" s="21"/>
      <c r="B64" s="141" t="s">
        <v>145</v>
      </c>
      <c r="C64" s="133">
        <v>0.05</v>
      </c>
      <c r="D64" s="134"/>
      <c r="E64" s="134"/>
      <c r="G64" s="244"/>
      <c r="H64" s="146">
        <f t="shared" ref="H64:H65" si="9">H63+0.01</f>
        <v>4.0268025053029947E-2</v>
      </c>
      <c r="I64" s="32">
        <v>0.11733124145964285</v>
      </c>
      <c r="J64" s="154">
        <v>0.12692856120911253</v>
      </c>
      <c r="K64" s="155">
        <v>0.13652588095858223</v>
      </c>
      <c r="L64" s="156">
        <v>0.14612320070805196</v>
      </c>
      <c r="M64" s="32">
        <v>0.15572052045752166</v>
      </c>
    </row>
    <row r="65" spans="1:19" x14ac:dyDescent="0.25">
      <c r="A65" s="21"/>
      <c r="B65" s="141" t="s">
        <v>152</v>
      </c>
      <c r="C65" s="145">
        <f>H14</f>
        <v>0.14000000000000001</v>
      </c>
      <c r="D65" s="157"/>
      <c r="E65" s="157"/>
      <c r="G65" s="244"/>
      <c r="H65" s="146">
        <f t="shared" si="9"/>
        <v>5.0268025053029949E-2</v>
      </c>
      <c r="I65" s="32">
        <v>0.11655674145964284</v>
      </c>
      <c r="J65" s="32">
        <v>0.12605406120911253</v>
      </c>
      <c r="K65" s="32">
        <v>0.13555138095858224</v>
      </c>
      <c r="L65" s="32">
        <v>0.14504870070805195</v>
      </c>
      <c r="M65" s="32">
        <v>0.15454602045752167</v>
      </c>
    </row>
    <row r="66" spans="1:19" ht="15.75" thickBot="1" x14ac:dyDescent="0.35">
      <c r="A66" s="21"/>
      <c r="B66" s="125" t="s">
        <v>145</v>
      </c>
      <c r="C66" s="147">
        <f>C64*(1-C65)</f>
        <v>4.3000000000000003E-2</v>
      </c>
      <c r="D66" s="33"/>
      <c r="E66" s="33"/>
    </row>
    <row r="67" spans="1:19" x14ac:dyDescent="0.25">
      <c r="A67" s="21"/>
      <c r="Q67" s="10" t="s">
        <v>153</v>
      </c>
      <c r="R67" s="10" t="s">
        <v>153</v>
      </c>
    </row>
    <row r="68" spans="1:19" ht="15" x14ac:dyDescent="0.3">
      <c r="A68" s="21" t="s">
        <v>7</v>
      </c>
      <c r="B68" s="37" t="s">
        <v>154</v>
      </c>
      <c r="C68" s="16"/>
      <c r="D68" s="16"/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</row>
    <row r="70" spans="1:19" ht="15.75" thickBot="1" x14ac:dyDescent="0.35">
      <c r="A70" s="21"/>
      <c r="D70" s="27">
        <f>H8</f>
        <v>2025</v>
      </c>
      <c r="E70" s="27">
        <f>D70+1</f>
        <v>2026</v>
      </c>
      <c r="F70" s="27">
        <f>E70+1</f>
        <v>2027</v>
      </c>
      <c r="G70" s="27">
        <f>F70+1</f>
        <v>2028</v>
      </c>
      <c r="H70" s="27">
        <f>G70+1</f>
        <v>2029</v>
      </c>
      <c r="M70" s="158"/>
    </row>
    <row r="71" spans="1:19" x14ac:dyDescent="0.25">
      <c r="B71" s="10" t="s">
        <v>155</v>
      </c>
      <c r="D71" s="159">
        <f>H30+H37</f>
        <v>35150.897049808751</v>
      </c>
      <c r="E71" s="159">
        <f>I30+I37</f>
        <v>51973.73583635586</v>
      </c>
      <c r="F71" s="159">
        <f>J30+J37</f>
        <v>71643.659955313371</v>
      </c>
      <c r="G71" s="159">
        <f>K30+K37</f>
        <v>91584.16859395543</v>
      </c>
      <c r="H71" s="159">
        <f>L30+L37</f>
        <v>107904.41423561257</v>
      </c>
    </row>
    <row r="72" spans="1:19" x14ac:dyDescent="0.25">
      <c r="B72" s="10" t="s">
        <v>137</v>
      </c>
      <c r="D72" s="159">
        <f ca="1">H40</f>
        <v>29081.0421172725</v>
      </c>
      <c r="E72" s="159">
        <f ca="1">I40</f>
        <v>44524.770669768172</v>
      </c>
      <c r="F72" s="159">
        <f ca="1">J40</f>
        <v>60216.573584830912</v>
      </c>
      <c r="G72" s="159">
        <f ca="1">K40</f>
        <v>75264.374773515461</v>
      </c>
      <c r="H72" s="159">
        <f ca="1">L40</f>
        <v>86318.077783349276</v>
      </c>
    </row>
    <row r="73" spans="1:19" x14ac:dyDescent="0.25">
      <c r="B73" s="10" t="s">
        <v>138</v>
      </c>
      <c r="C73" s="160">
        <f>C54</f>
        <v>0.13750038095858225</v>
      </c>
      <c r="D73" s="159"/>
      <c r="E73" s="159"/>
      <c r="F73" s="159"/>
      <c r="G73" s="159"/>
      <c r="H73" s="159"/>
    </row>
    <row r="74" spans="1:19" x14ac:dyDescent="0.25">
      <c r="B74" s="10" t="s">
        <v>156</v>
      </c>
      <c r="D74" s="159">
        <f ca="1">H45</f>
        <v>25565.742749699682</v>
      </c>
      <c r="E74" s="159">
        <f ca="1">I45</f>
        <v>34411.102694899295</v>
      </c>
      <c r="F74" s="159">
        <f ca="1">J45</f>
        <v>40913.00580683686</v>
      </c>
      <c r="G74" s="159">
        <f ca="1">K45</f>
        <v>44955.543771473902</v>
      </c>
      <c r="H74" s="159">
        <f ca="1">L45</f>
        <v>45325.646420982703</v>
      </c>
    </row>
    <row r="75" spans="1:19" x14ac:dyDescent="0.25">
      <c r="H75" s="161"/>
      <c r="I75" s="161"/>
      <c r="J75" s="161"/>
      <c r="K75" s="161"/>
      <c r="L75" s="161"/>
    </row>
    <row r="78" spans="1:19" ht="15" x14ac:dyDescent="0.3">
      <c r="C78" s="162" t="s">
        <v>157</v>
      </c>
      <c r="D78" s="163"/>
      <c r="E78" s="163"/>
      <c r="F78" s="163"/>
      <c r="G78" s="163"/>
      <c r="H78" s="163"/>
      <c r="I78" s="163"/>
      <c r="J78" s="163"/>
      <c r="K78" s="164"/>
    </row>
    <row r="79" spans="1:19" ht="15" x14ac:dyDescent="0.3">
      <c r="C79" s="165" t="s">
        <v>158</v>
      </c>
      <c r="D79" s="166"/>
      <c r="E79" s="166"/>
      <c r="F79" s="167"/>
      <c r="H79" s="165" t="s">
        <v>159</v>
      </c>
      <c r="I79" s="166"/>
      <c r="J79" s="166"/>
      <c r="K79" s="167"/>
    </row>
    <row r="80" spans="1:19" x14ac:dyDescent="0.25">
      <c r="C80" s="169" t="s">
        <v>161</v>
      </c>
      <c r="F80" s="170">
        <f>H71</f>
        <v>107904.41423561257</v>
      </c>
      <c r="H80" s="171" t="s">
        <v>162</v>
      </c>
      <c r="K80" s="172">
        <f ca="1">H72</f>
        <v>86318.077783349276</v>
      </c>
    </row>
    <row r="81" spans="3:19" x14ac:dyDescent="0.25">
      <c r="C81" s="169" t="s">
        <v>163</v>
      </c>
      <c r="F81" s="236">
        <f>AVERAGE(10,15)</f>
        <v>12.5</v>
      </c>
      <c r="H81" s="173" t="s">
        <v>164</v>
      </c>
      <c r="K81" s="234">
        <v>2.5000000000000001E-2</v>
      </c>
      <c r="M81" s="13"/>
      <c r="N81" s="13"/>
      <c r="O81" s="13"/>
    </row>
    <row r="82" spans="3:19" ht="15" x14ac:dyDescent="0.3">
      <c r="C82" s="174" t="s">
        <v>165</v>
      </c>
      <c r="D82" s="175"/>
      <c r="F82" s="176">
        <f>F80*F81</f>
        <v>1348805.177945157</v>
      </c>
      <c r="H82" s="173" t="s">
        <v>138</v>
      </c>
      <c r="K82" s="177">
        <f>C73</f>
        <v>0.13750038095858225</v>
      </c>
      <c r="M82" s="18"/>
      <c r="N82" s="18"/>
    </row>
    <row r="83" spans="3:19" ht="15.75" thickBot="1" x14ac:dyDescent="0.35">
      <c r="C83" s="169" t="s">
        <v>138</v>
      </c>
      <c r="F83" s="178">
        <f>C73</f>
        <v>0.13750038095858225</v>
      </c>
      <c r="H83" s="179" t="s">
        <v>165</v>
      </c>
      <c r="K83" s="180">
        <f ca="1">(K80*(1+K81))/(K82-K81)</f>
        <v>786450.93442400009</v>
      </c>
      <c r="M83" s="230"/>
      <c r="N83" s="230"/>
      <c r="O83" s="230"/>
      <c r="P83" s="230"/>
      <c r="Q83" s="230"/>
      <c r="R83" s="230"/>
      <c r="S83" s="230"/>
    </row>
    <row r="84" spans="3:19" ht="15" x14ac:dyDescent="0.3">
      <c r="C84" s="181" t="s">
        <v>166</v>
      </c>
      <c r="D84" s="18"/>
      <c r="F84" s="182">
        <f>F82/(1+F83)^5</f>
        <v>708257.97047725553</v>
      </c>
      <c r="H84" s="173" t="s">
        <v>138</v>
      </c>
      <c r="K84" s="183">
        <f>C73</f>
        <v>0.13750038095858225</v>
      </c>
      <c r="M84" s="141"/>
      <c r="S84" s="168"/>
    </row>
    <row r="85" spans="3:19" ht="15" x14ac:dyDescent="0.3">
      <c r="C85" s="169" t="s">
        <v>167</v>
      </c>
      <c r="F85" s="176">
        <f ca="1">SUM(D74:H74)</f>
        <v>191171.04144389243</v>
      </c>
      <c r="H85" s="184" t="s">
        <v>166</v>
      </c>
      <c r="K85" s="185">
        <f ca="1">K83/(1+K84)^5</f>
        <v>412965.60229970573</v>
      </c>
      <c r="M85" s="141"/>
      <c r="N85" s="10" t="s">
        <v>160</v>
      </c>
      <c r="S85" s="168"/>
    </row>
    <row r="86" spans="3:19" ht="14.25" thickBot="1" x14ac:dyDescent="0.3">
      <c r="C86" s="186"/>
      <c r="D86" s="187"/>
      <c r="E86" s="187"/>
      <c r="F86" s="188"/>
      <c r="H86" s="189" t="s">
        <v>167</v>
      </c>
      <c r="I86" s="187"/>
      <c r="J86" s="187"/>
      <c r="K86" s="190">
        <f ca="1">SUM(D74:H74)</f>
        <v>191171.04144389243</v>
      </c>
      <c r="M86" s="141"/>
      <c r="S86" s="168"/>
    </row>
    <row r="87" spans="3:19" ht="15.75" thickBot="1" x14ac:dyDescent="0.35">
      <c r="C87" s="191" t="s">
        <v>168</v>
      </c>
      <c r="D87" s="192"/>
      <c r="E87" s="187"/>
      <c r="F87" s="193">
        <f ca="1">F85+F84</f>
        <v>899429.01192114793</v>
      </c>
      <c r="G87" s="80"/>
      <c r="H87" s="194" t="s">
        <v>168</v>
      </c>
      <c r="I87" s="195"/>
      <c r="J87" s="195"/>
      <c r="K87" s="193">
        <f ca="1">K86+K85</f>
        <v>604136.64374359814</v>
      </c>
      <c r="M87" s="196"/>
      <c r="N87" s="21"/>
      <c r="O87" s="21"/>
      <c r="S87" s="168"/>
    </row>
    <row r="88" spans="3:19" x14ac:dyDescent="0.25">
      <c r="M88" s="126" t="s">
        <v>169</v>
      </c>
      <c r="N88" s="13"/>
      <c r="O88" s="233">
        <v>136.80000000000001</v>
      </c>
      <c r="S88" s="168"/>
    </row>
    <row r="89" spans="3:19" ht="15" x14ac:dyDescent="0.3">
      <c r="C89" s="162" t="s">
        <v>170</v>
      </c>
      <c r="D89" s="163"/>
      <c r="E89" s="163"/>
      <c r="F89" s="163"/>
      <c r="G89" s="163"/>
      <c r="H89" s="163"/>
      <c r="I89" s="163"/>
      <c r="J89" s="163"/>
      <c r="K89" s="164"/>
      <c r="M89" s="141" t="s">
        <v>171</v>
      </c>
      <c r="O89" s="231">
        <v>0.47499999999999998</v>
      </c>
      <c r="R89" s="197"/>
      <c r="S89" s="168"/>
    </row>
    <row r="90" spans="3:19" ht="15" x14ac:dyDescent="0.3">
      <c r="C90" s="165" t="s">
        <v>158</v>
      </c>
      <c r="D90" s="166"/>
      <c r="E90" s="166"/>
      <c r="F90" s="167"/>
      <c r="H90" s="165" t="s">
        <v>159</v>
      </c>
      <c r="I90" s="166"/>
      <c r="J90" s="166"/>
      <c r="K90" s="167"/>
      <c r="M90" s="141" t="s">
        <v>172</v>
      </c>
      <c r="O90" s="231">
        <v>457.54</v>
      </c>
      <c r="S90" s="168"/>
    </row>
    <row r="91" spans="3:19" x14ac:dyDescent="0.25">
      <c r="C91" s="169" t="s">
        <v>173</v>
      </c>
      <c r="F91" s="170">
        <f ca="1">F87</f>
        <v>899429.01192114793</v>
      </c>
      <c r="H91" s="171" t="s">
        <v>173</v>
      </c>
      <c r="K91" s="180">
        <f ca="1">K87</f>
        <v>604136.64374359814</v>
      </c>
      <c r="M91" s="141" t="s">
        <v>174</v>
      </c>
      <c r="O91" s="10">
        <f>O90*O89</f>
        <v>217.33150000000001</v>
      </c>
      <c r="S91" s="168"/>
    </row>
    <row r="92" spans="3:19" x14ac:dyDescent="0.25">
      <c r="C92" s="169" t="s">
        <v>175</v>
      </c>
      <c r="F92" s="198">
        <f>'Operating Model'!G108</f>
        <v>25984</v>
      </c>
      <c r="H92" s="173" t="s">
        <v>175</v>
      </c>
      <c r="K92" s="199">
        <f>F92</f>
        <v>25984</v>
      </c>
      <c r="M92" s="141" t="s">
        <v>176</v>
      </c>
      <c r="O92" s="10">
        <f>O91/O88</f>
        <v>1.5886805555555554</v>
      </c>
      <c r="S92" s="168"/>
    </row>
    <row r="93" spans="3:19" ht="15" x14ac:dyDescent="0.3">
      <c r="C93" s="169" t="s">
        <v>177</v>
      </c>
      <c r="F93" s="198">
        <f>SUM('Operating Model'!G74:G75)</f>
        <v>10828</v>
      </c>
      <c r="H93" s="173" t="s">
        <v>177</v>
      </c>
      <c r="K93" s="199">
        <f>F93</f>
        <v>10828</v>
      </c>
      <c r="M93" s="126" t="s">
        <v>178</v>
      </c>
      <c r="N93" s="13"/>
      <c r="O93" s="30">
        <f>O89-O92</f>
        <v>-1.1136805555555553</v>
      </c>
      <c r="S93" s="168"/>
    </row>
    <row r="94" spans="3:19" x14ac:dyDescent="0.25">
      <c r="C94" s="169" t="s">
        <v>179</v>
      </c>
      <c r="F94" s="239">
        <v>0</v>
      </c>
      <c r="H94" s="173" t="s">
        <v>179</v>
      </c>
      <c r="K94" s="237">
        <f>F94</f>
        <v>0</v>
      </c>
      <c r="M94" s="141"/>
      <c r="R94" s="197"/>
      <c r="S94" s="168"/>
    </row>
    <row r="95" spans="3:19" x14ac:dyDescent="0.25">
      <c r="C95" s="169" t="s">
        <v>180</v>
      </c>
      <c r="F95" s="240">
        <v>0</v>
      </c>
      <c r="H95" s="173" t="s">
        <v>180</v>
      </c>
      <c r="K95" s="238">
        <f>F95</f>
        <v>0</v>
      </c>
      <c r="M95" s="126" t="s">
        <v>181</v>
      </c>
      <c r="N95" s="13"/>
      <c r="O95" s="13"/>
      <c r="P95" s="10" t="s">
        <v>182</v>
      </c>
      <c r="R95" s="10" t="s">
        <v>183</v>
      </c>
      <c r="S95" s="168"/>
    </row>
    <row r="96" spans="3:19" ht="15" x14ac:dyDescent="0.3">
      <c r="C96" s="200" t="s">
        <v>184</v>
      </c>
      <c r="D96" s="201"/>
      <c r="F96" s="182">
        <f ca="1">F91+F92-F93-F94-F95</f>
        <v>914585.01192114793</v>
      </c>
      <c r="H96" s="202" t="s">
        <v>184</v>
      </c>
      <c r="K96" s="185">
        <f ca="1">K91+K92-K93-K94-K95</f>
        <v>619292.64374359814</v>
      </c>
      <c r="M96" s="141" t="s">
        <v>185</v>
      </c>
      <c r="P96" s="231">
        <v>37</v>
      </c>
      <c r="Q96" s="231"/>
      <c r="R96" s="232">
        <v>245.49</v>
      </c>
      <c r="S96" s="168"/>
    </row>
    <row r="97" spans="3:19" x14ac:dyDescent="0.25">
      <c r="C97" s="169"/>
      <c r="F97" s="78"/>
      <c r="H97" s="173"/>
      <c r="K97" s="203"/>
      <c r="M97" s="126"/>
      <c r="N97" s="13"/>
      <c r="O97" s="13"/>
      <c r="S97" s="168"/>
    </row>
    <row r="98" spans="3:19" x14ac:dyDescent="0.25">
      <c r="C98" s="169" t="s">
        <v>186</v>
      </c>
      <c r="F98" s="242">
        <f>P99</f>
        <v>2535.8863194444443</v>
      </c>
      <c r="H98" s="173" t="s">
        <v>186</v>
      </c>
      <c r="K98" s="241">
        <f>P99</f>
        <v>2535.8863194444443</v>
      </c>
      <c r="M98" s="141" t="s">
        <v>187</v>
      </c>
      <c r="P98" s="231">
        <v>2500</v>
      </c>
      <c r="R98" s="197"/>
      <c r="S98" s="168"/>
    </row>
    <row r="99" spans="3:19" ht="14.25" thickBot="1" x14ac:dyDescent="0.3">
      <c r="C99" s="186"/>
      <c r="D99" s="187"/>
      <c r="E99" s="187"/>
      <c r="F99" s="188"/>
      <c r="H99" s="189"/>
      <c r="I99" s="187"/>
      <c r="J99" s="187"/>
      <c r="K99" s="204"/>
      <c r="M99" s="141" t="s">
        <v>188</v>
      </c>
      <c r="P99" s="10">
        <f>P98+P96+O93</f>
        <v>2535.8863194444443</v>
      </c>
      <c r="S99" s="168"/>
    </row>
    <row r="100" spans="3:19" ht="15.75" thickBot="1" x14ac:dyDescent="0.35">
      <c r="C100" s="205" t="s">
        <v>189</v>
      </c>
      <c r="D100" s="124"/>
      <c r="E100" s="195"/>
      <c r="F100" s="206">
        <f ca="1">F96/F98</f>
        <v>360.65694463839884</v>
      </c>
      <c r="G100" s="80"/>
      <c r="H100" s="205" t="s">
        <v>189</v>
      </c>
      <c r="I100" s="195"/>
      <c r="J100" s="195"/>
      <c r="K100" s="206">
        <f ca="1">K96/K98</f>
        <v>244.21151650018413</v>
      </c>
      <c r="M100" s="207"/>
      <c r="N100" s="187"/>
      <c r="O100" s="187"/>
      <c r="P100" s="187"/>
      <c r="Q100" s="187"/>
      <c r="R100" s="187"/>
      <c r="S100" s="208"/>
    </row>
    <row r="102" spans="3:19" x14ac:dyDescent="0.25">
      <c r="M102" s="10" t="s">
        <v>190</v>
      </c>
    </row>
  </sheetData>
  <mergeCells count="8">
    <mergeCell ref="H59:M59"/>
    <mergeCell ref="G61:G65"/>
    <mergeCell ref="B63:C63"/>
    <mergeCell ref="B50:C50"/>
    <mergeCell ref="G50:M50"/>
    <mergeCell ref="H51:M51"/>
    <mergeCell ref="G53:G57"/>
    <mergeCell ref="B56:C56"/>
  </mergeCells>
  <pageMargins left="0.7" right="0.7" top="0.75" bottom="0.75" header="0.3" footer="0.3"/>
  <pageSetup orientation="portrait" horizontalDpi="1200" verticalDpi="1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Cover</vt:lpstr>
      <vt:lpstr>Operating Model</vt:lpstr>
      <vt:lpstr>Revenue Growth Rate</vt:lpstr>
      <vt:lpstr>Discounted Cash Flow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Le</dc:creator>
  <cp:lastModifiedBy>James Le</cp:lastModifiedBy>
  <cp:lastPrinted>2024-11-03T07:42:35Z</cp:lastPrinted>
  <dcterms:created xsi:type="dcterms:W3CDTF">2024-10-25T19:07:10Z</dcterms:created>
  <dcterms:modified xsi:type="dcterms:W3CDTF">2024-11-27T06:22:03Z</dcterms:modified>
</cp:coreProperties>
</file>